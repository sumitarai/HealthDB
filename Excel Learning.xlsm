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mc:AlternateContent xmlns:mc="http://schemas.openxmlformats.org/markup-compatibility/2006">
    <mc:Choice Requires="x15">
      <x15ac:absPath xmlns:x15ac="http://schemas.microsoft.com/office/spreadsheetml/2010/11/ac" url="C:\Work\HandsOn\HealthDB\"/>
    </mc:Choice>
  </mc:AlternateContent>
  <xr:revisionPtr revIDLastSave="0" documentId="13_ncr:1_{ABE1268C-FF73-49AB-BC1F-A3E41E2BF2C4}" xr6:coauthVersionLast="47" xr6:coauthVersionMax="47" xr10:uidLastSave="{00000000-0000-0000-0000-000000000000}"/>
  <bookViews>
    <workbookView xWindow="28680" yWindow="-1620" windowWidth="29040" windowHeight="15840" firstSheet="1" activeTab="1" xr2:uid="{00000000-000D-0000-FFFF-FFFF00000000}"/>
  </bookViews>
  <sheets>
    <sheet name="Sheet1" sheetId="1" state="hidden" r:id="rId1"/>
    <sheet name="Excel Basics" sheetId="5" r:id="rId2"/>
    <sheet name="Pivot Table and Chart" sheetId="4" r:id="rId3"/>
    <sheet name="Conditional Formatting" sheetId="9" r:id="rId4"/>
    <sheet name="shortcuts" sheetId="2" r:id="rId5"/>
  </sheets>
  <functionGroups builtInGroupCount="19"/>
  <definedNames>
    <definedName name="_xlnm._FilterDatabase" localSheetId="1" hidden="1">'Excel Basics'!$A$31:$N$70</definedName>
    <definedName name="_xlnm._FilterDatabase" localSheetId="2" hidden="1">'Pivot Table and Chart'!$A$3:$G$3</definedName>
  </definedNames>
  <calcPr calcId="191029"/>
  <pivotCaches>
    <pivotCache cacheId="24"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7" i="9" l="1"/>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6" i="4"/>
  <c r="G5" i="4"/>
  <c r="G4" i="4"/>
  <c r="G3" i="4"/>
  <c r="G2" i="4"/>
  <c r="F9" i="5" l="1"/>
  <c r="D8" i="5"/>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<sst xmlns="http://schemas.openxmlformats.org/spreadsheetml/2006/main" count="374" uniqueCount="200">
  <si>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</si>
  <si>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</si>
  <si>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</si>
  <si>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</si>
  <si>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</si>
  <si>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</si>
  <si>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</si>
  <si>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</si>
  <si>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</si>
  <si>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</si>
  <si>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</si>
  <si>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</si>
  <si>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</si>
  <si>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</si>
  <si>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</si>
  <si>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</si>
  <si>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</si>
  <si>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</si>
  <si>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</si>
  <si>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</si>
  <si>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</si>
  <si>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</si>
  <si>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</si>
  <si>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</si>
  <si>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</si>
  <si>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</si>
  <si>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</si>
  <si>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</si>
  <si>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</si>
  <si>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</si>
  <si>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</si>
  <si>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</si>
  <si>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</si>
  <si>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</si>
  <si>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</si>
  <si>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</si>
  <si>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</si>
  <si>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</si>
  <si>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</si>
  <si>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</si>
  <si>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</si>
  <si>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</si>
  <si>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</si>
  <si>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</si>
  <si>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</si>
  <si>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</si>
  <si>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</si>
  <si>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</si>
  <si>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</si>
  <si>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</si>
  <si>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</si>
  <si>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</si>
  <si>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</si>
  <si>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</si>
  <si>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</si>
  <si>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</si>
  <si>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</si>
  <si>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</si>
  <si>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</si>
  <si>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</si>
  <si>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</si>
  <si>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</si>
  <si>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</si>
  <si>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</si>
  <si>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on A3 cell &gt;&gt; click Insert on the top ribbon &gt; click Pivot table and then select the fields that wants to show in pivot table</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</si>
  <si>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</si>
  <si>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</si>
  <si>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</si>
  <si>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</si>
  <si>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</si>
  <si>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</si>
  <si>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</si>
  <si>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</si>
  <si>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</si>
  <si>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</si>
  <si>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</si>
  <si>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</si>
  <si>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</si>
  <si>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</si>
  <si>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</si>
  <si>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</si>
  <si>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</si>
  <si>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</si>
  <si>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</si>
  <si>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</si>
  <si>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</si>
  <si>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</si>
  <si>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</si>
  <si>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</si>
  <si>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</si>
  <si>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</si>
  <si>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</si>
  <si>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</si>
  <si>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</si>
  <si>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</si>
  <si>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</si>
  <si>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</si>
  <si>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</si>
  <si>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</si>
  <si>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</si>
  <si>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</si>
  <si>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</si>
  <si>
    <r>
      <rPr>
        <b/>
        <sz val="11"/>
        <color theme="1"/>
        <rFont val="Calibri"/>
        <family val="2"/>
        <scheme val="minor"/>
      </rPr>
      <t>Excel table:</t>
    </r>
    <r>
      <rPr>
        <sz val="11"/>
        <color theme="1"/>
        <rFont val="Calibri"/>
        <family val="2"/>
        <scheme val="minor"/>
      </rPr>
      <t xml:space="preserve"> Tables connect cells in a range and put it into a fixed structure. The cells in the table range share the same formatting. </t>
    </r>
    <r>
      <rPr>
        <sz val="11"/>
        <color rgb="FFFF0000"/>
        <rFont val="Calibri"/>
        <family val="2"/>
        <scheme val="minor"/>
      </rPr>
      <t xml:space="preserve">Click </t>
    </r>
    <r>
      <rPr>
        <b/>
        <sz val="11"/>
        <color rgb="FFFF0000"/>
        <rFont val="Calibri"/>
        <family val="2"/>
        <scheme val="minor"/>
      </rPr>
      <t>Insert</t>
    </r>
    <r>
      <rPr>
        <sz val="11"/>
        <color rgb="FFFF0000"/>
        <rFont val="Calibri"/>
        <family val="2"/>
        <scheme val="minor"/>
      </rPr>
      <t xml:space="preserve"> in the Ribbon and then</t>
    </r>
    <r>
      <rPr>
        <b/>
        <sz val="11"/>
        <color rgb="FFFF0000"/>
        <rFont val="Calibri"/>
        <family val="2"/>
        <scheme val="minor"/>
      </rPr>
      <t xml:space="preserve"> Table</t>
    </r>
    <r>
      <rPr>
        <sz val="11"/>
        <color rgb="FFFF0000"/>
        <rFont val="Calibri"/>
        <family val="2"/>
        <scheme val="minor"/>
      </rPr>
      <t>.</t>
    </r>
  </si>
  <si>
    <t>Note: Tables can be used to prepare data for charts and pivot tables.
Note: It is useful to know the table names when you have many tables in a workbook and are referring to them in formulas.
Note: The remove duplicate command will not ask for which duplicates to delete. Make sure that it does not delete useful data.</t>
  </si>
  <si>
    <r>
      <rPr>
        <b/>
        <sz val="11"/>
        <color theme="1"/>
        <rFont val="Calibri"/>
        <family val="2"/>
        <scheme val="minor"/>
      </rPr>
      <t xml:space="preserve">Table Design </t>
    </r>
    <r>
      <rPr>
        <sz val="11"/>
        <color theme="1"/>
        <rFont val="Calibri"/>
        <family val="2"/>
        <scheme val="minor"/>
      </rPr>
      <t>&gt;&gt; The menu appears when selecting a cell in the table's range. 
- Resize (</t>
    </r>
    <r>
      <rPr>
        <b/>
        <sz val="11"/>
        <color theme="1"/>
        <rFont val="Calibri"/>
        <family val="2"/>
        <scheme val="minor"/>
      </rPr>
      <t>Table Design &gt; Resize Table):</t>
    </r>
    <r>
      <rPr>
        <sz val="11"/>
        <color theme="1"/>
        <rFont val="Calibri"/>
        <family val="2"/>
        <scheme val="minor"/>
      </rPr>
      <t xml:space="preserve"> Selecting new data range for table allows to resize the table range. Example:</t>
    </r>
    <r>
      <rPr>
        <b/>
        <sz val="11"/>
        <color theme="1"/>
        <rFont val="Calibri"/>
        <family val="2"/>
        <scheme val="minor"/>
      </rPr>
      <t xml:space="preserve"> A1:F12 to A1:F20
</t>
    </r>
    <r>
      <rPr>
        <sz val="11"/>
        <color theme="1"/>
        <rFont val="Calibri"/>
        <family val="2"/>
        <scheme val="minor"/>
      </rPr>
      <t xml:space="preserve">- Remove duplicates </t>
    </r>
    <r>
      <rPr>
        <b/>
        <sz val="11"/>
        <color theme="1"/>
        <rFont val="Calibri"/>
        <family val="2"/>
        <scheme val="minor"/>
      </rPr>
      <t>(Table Design &gt; Remove Duplicates):</t>
    </r>
    <r>
      <rPr>
        <sz val="11"/>
        <color theme="1"/>
        <rFont val="Calibri"/>
        <family val="2"/>
        <scheme val="minor"/>
      </rPr>
      <t xml:space="preserve"> Removing duplicates are helpful when cleaning a dataset and you do not want to include copies.
- Convert to range </t>
    </r>
    <r>
      <rPr>
        <b/>
        <sz val="11"/>
        <color theme="1"/>
        <rFont val="Calibri"/>
        <family val="2"/>
        <scheme val="minor"/>
      </rPr>
      <t xml:space="preserve">(Table Design &gt; Convert to Range): </t>
    </r>
    <r>
      <rPr>
        <sz val="11"/>
        <color theme="1"/>
        <rFont val="Calibri"/>
        <family val="2"/>
        <scheme val="minor"/>
      </rPr>
      <t xml:space="preserve">Tables can be reversed and converted back to range. It no longer has the table options available.
- Style options </t>
    </r>
    <r>
      <rPr>
        <b/>
        <sz val="11"/>
        <color theme="1"/>
        <rFont val="Calibri"/>
        <family val="2"/>
        <scheme val="minor"/>
      </rPr>
      <t>(Table Design &gt; Table Styles)</t>
    </r>
    <r>
      <rPr>
        <sz val="11"/>
        <color theme="1"/>
        <rFont val="Calibri"/>
        <family val="2"/>
        <scheme val="minor"/>
      </rPr>
      <t xml:space="preserve"> Options to select different styles (Total row, Header row, Banded row etc..)</t>
    </r>
  </si>
  <si>
    <t>(blank)</t>
  </si>
  <si>
    <t>Conditional Formatting Example</t>
  </si>
  <si>
    <t>Name</t>
  </si>
  <si>
    <t>Type</t>
  </si>
  <si>
    <t>Grass</t>
  </si>
  <si>
    <t>Fire</t>
  </si>
  <si>
    <t>Water</t>
  </si>
  <si>
    <t>Speed</t>
  </si>
  <si>
    <t>N</t>
  </si>
  <si>
    <t>Click on the Conditional Formatting icon in the ribbon</t>
  </si>
  <si>
    <t>Dark green is used for the highest values, and dark red for the lowest values.</t>
  </si>
  <si>
    <r>
      <rPr>
        <b/>
        <sz val="11"/>
        <color theme="1"/>
        <rFont val="Calibri"/>
        <family val="2"/>
        <scheme val="minor"/>
      </rPr>
      <t>Excel Conditional formatting:</t>
    </r>
    <r>
      <rPr>
        <sz val="11"/>
        <color theme="1"/>
        <rFont val="Calibri"/>
        <family val="2"/>
        <scheme val="minor"/>
      </rPr>
      <t xml:space="preserve"> It is used to change the appearance of cells in a range based on your specified conditions. Used for visual data analysis.
</t>
    </r>
    <r>
      <rPr>
        <b/>
        <sz val="11"/>
        <color theme="1"/>
        <rFont val="Calibri"/>
        <family val="2"/>
        <scheme val="minor"/>
      </rPr>
      <t>Home &gt; Conditional Formatting &gt; Color Scales</t>
    </r>
    <r>
      <rPr>
        <sz val="11"/>
        <color theme="1"/>
        <rFont val="Calibri"/>
        <family val="2"/>
        <scheme val="minor"/>
      </rPr>
      <t>: The conditions are rules based on specified numerical values or matching text. All the cells in the range gradually change color from green, yellow, orange, then red.</t>
    </r>
  </si>
  <si>
    <r>
      <rPr>
        <b/>
        <sz val="11"/>
        <color theme="1"/>
        <rFont val="Calibri"/>
        <family val="2"/>
        <scheme val="minor"/>
      </rPr>
      <t>Excel Highlight Cell Rules:</t>
    </r>
    <r>
      <rPr>
        <sz val="11"/>
        <color theme="1"/>
        <rFont val="Calibri"/>
        <family val="2"/>
        <scheme val="minor"/>
      </rPr>
      <t xml:space="preserve"> Highlight Cell Rules is a premade type of conditional formatting in Excel used to change the appearance of cells in a range based on your specified conditions.
The conditions are rules based on specified numerical values, matching text, calendar dates, or duplicated and unique values.</t>
    </r>
  </si>
  <si>
    <r>
      <t xml:space="preserve">Select the range that needs formating. </t>
    </r>
    <r>
      <rPr>
        <b/>
        <sz val="11"/>
        <color theme="1"/>
        <rFont val="Calibri"/>
        <family val="2"/>
        <scheme val="minor"/>
      </rPr>
      <t>Example: F3:F8</t>
    </r>
  </si>
  <si>
    <r>
      <t xml:space="preserve">Select the </t>
    </r>
    <r>
      <rPr>
        <b/>
        <sz val="11"/>
        <color theme="1"/>
        <rFont val="Calibri"/>
        <family val="2"/>
        <scheme val="minor"/>
      </rPr>
      <t>Color Scales</t>
    </r>
    <r>
      <rPr>
        <sz val="11"/>
        <color theme="1"/>
        <rFont val="Calibri"/>
        <family val="2"/>
        <scheme val="minor"/>
      </rPr>
      <t xml:space="preserve"> from the drop-down menu</t>
    </r>
  </si>
  <si>
    <t>Light Red Fill with Dark Red Text</t>
  </si>
  <si>
    <t>Yellow Fill with Dark Yellow Text</t>
  </si>
  <si>
    <t>Green Fill with Dark Green Text</t>
  </si>
  <si>
    <t>Light Red Fill</t>
  </si>
  <si>
    <t>Red Text</t>
  </si>
  <si>
    <t>Red Border</t>
  </si>
  <si>
    <t>Type 1</t>
  </si>
  <si>
    <t>HP</t>
  </si>
  <si>
    <t>Attack</t>
  </si>
  <si>
    <t>Defense</t>
  </si>
  <si>
    <t>Sp. Atk</t>
  </si>
  <si>
    <t>Sp. Def</t>
  </si>
  <si>
    <t>Electric</t>
  </si>
  <si>
    <t>Magikarp</t>
  </si>
  <si>
    <t>Gyarados</t>
  </si>
  <si>
    <t>Lapras</t>
  </si>
  <si>
    <t>Ditto</t>
  </si>
  <si>
    <t>Eevee</t>
  </si>
  <si>
    <t>Vaporeon</t>
  </si>
  <si>
    <t>Jolteon</t>
  </si>
  <si>
    <t>Home &gt; Conditional Formatting &gt; Highlight Cells Rules &gt; Text that contains</t>
  </si>
  <si>
    <t>Highlight Cell Rules (HCR)</t>
  </si>
  <si>
    <r>
      <t>Select the range</t>
    </r>
    <r>
      <rPr>
        <b/>
        <sz val="11"/>
        <color theme="1"/>
        <rFont val="Calibri"/>
        <family val="2"/>
        <scheme val="minor"/>
      </rPr>
      <t xml:space="preserve"> E20:J26 </t>
    </r>
    <r>
      <rPr>
        <sz val="11"/>
        <color theme="1"/>
        <rFont val="Calibri"/>
        <family val="2"/>
        <scheme val="minor"/>
      </rPr>
      <t>for all of the stat values</t>
    </r>
  </si>
  <si>
    <t>Click on the Conditional Formatting icon on the ribbon</t>
  </si>
  <si>
    <t>This will open a dialog box where you can specify the value and the appearance option.</t>
  </si>
  <si>
    <t>Highlight Cell Rule will highlight a cell based on the cell value being equal to your specified value (Numeric/Text)</t>
  </si>
  <si>
    <t>"Equal To..." | "Greater Than..." | "Less Than..." | "Between..."</t>
  </si>
  <si>
    <r>
      <t xml:space="preserve">Select the </t>
    </r>
    <r>
      <rPr>
        <b/>
        <sz val="11"/>
        <color theme="1"/>
        <rFont val="Calibri"/>
        <family val="2"/>
        <scheme val="minor"/>
      </rPr>
      <t>Highlight Cell Rules</t>
    </r>
    <r>
      <rPr>
        <sz val="11"/>
        <color theme="1"/>
        <rFont val="Calibri"/>
        <family val="2"/>
        <scheme val="minor"/>
      </rPr>
      <t xml:space="preserve"> from the drop-down menu </t>
    </r>
  </si>
  <si>
    <t>Click any one option ("Equal To..." | "Greater Than..." | "Less Than..." | "Between...")</t>
  </si>
  <si>
    <t>Enter numeric/texts into the input field</t>
  </si>
  <si>
    <t>Select the appearance option "Yellow Fill with Dark Yellow Text" from the dropdown menu &gt; Click OK</t>
  </si>
  <si>
    <t>Equal To</t>
  </si>
  <si>
    <t>Less Than</t>
  </si>
  <si>
    <t>Greater Than</t>
  </si>
  <si>
    <t>Between</t>
  </si>
  <si>
    <t>60-75</t>
  </si>
  <si>
    <t>water</t>
  </si>
  <si>
    <t>Date</t>
  </si>
  <si>
    <t>Last Week</t>
  </si>
  <si>
    <t>Next Month</t>
  </si>
  <si>
    <t>Date HCR</t>
  </si>
  <si>
    <t>A Date Occurring…</t>
  </si>
  <si>
    <r>
      <rPr>
        <b/>
        <sz val="11"/>
        <color theme="1"/>
        <rFont val="Calibri"/>
        <family val="2"/>
        <scheme val="minor"/>
      </rPr>
      <t xml:space="preserve">"Equal To..." | "Greater Than..." | "Less Than..." | "Between...": </t>
    </r>
    <r>
      <rPr>
        <sz val="11"/>
        <color theme="1"/>
        <rFont val="Calibri"/>
        <family val="2"/>
        <scheme val="minor"/>
      </rPr>
      <t xml:space="preserve"> highlight cell rule will highlight a cell with one of the appearance options based on the cell value according to specified value.</t>
    </r>
  </si>
  <si>
    <t>Excel Top/Bottom Rules</t>
  </si>
  <si>
    <t>Bug</t>
  </si>
  <si>
    <t>Normal</t>
  </si>
  <si>
    <t>Poison</t>
  </si>
  <si>
    <t>Ground</t>
  </si>
  <si>
    <t xml:space="preserve">    </t>
  </si>
  <si>
    <t>Bulbasaur</t>
  </si>
  <si>
    <t>Ivysaur</t>
  </si>
  <si>
    <t>Venusaur</t>
  </si>
  <si>
    <t>Charmander</t>
  </si>
  <si>
    <t>Charmeleon</t>
  </si>
  <si>
    <t>Charizard</t>
  </si>
  <si>
    <t>Squirtle</t>
  </si>
  <si>
    <t>Wartortle</t>
  </si>
  <si>
    <t>Blastoise</t>
  </si>
  <si>
    <t>Caterpie</t>
  </si>
  <si>
    <t>Metapod</t>
  </si>
  <si>
    <t>Butterfree</t>
  </si>
  <si>
    <t>Weedle</t>
  </si>
  <si>
    <t>Kakuna</t>
  </si>
  <si>
    <t>Rattata</t>
  </si>
  <si>
    <t>Raticate</t>
  </si>
  <si>
    <t>Spearow</t>
  </si>
  <si>
    <t>Fearow</t>
  </si>
  <si>
    <t>Ekans</t>
  </si>
  <si>
    <t>Arbok</t>
  </si>
  <si>
    <t>Pikachu</t>
  </si>
  <si>
    <t>Raichu</t>
  </si>
  <si>
    <t>Sandshrew</t>
  </si>
  <si>
    <t>Sandslash</t>
  </si>
  <si>
    <t>Nidoran</t>
  </si>
  <si>
    <t>Nidorina</t>
  </si>
  <si>
    <r>
      <rPr>
        <b/>
        <sz val="11"/>
        <color theme="1"/>
        <rFont val="Calibri"/>
        <family val="2"/>
        <scheme val="minor"/>
      </rPr>
      <t>Excel Top/Bottom Rules</t>
    </r>
    <r>
      <rPr>
        <sz val="11"/>
        <color theme="1"/>
        <rFont val="Calibri"/>
        <family val="2"/>
        <scheme val="minor"/>
      </rPr>
      <t xml:space="preserve"> are premade types of conditional formatting in Excel used to change the appearance of cells in a range based on your specified conditions. 
</t>
    </r>
    <r>
      <rPr>
        <b/>
        <sz val="11"/>
        <color theme="1"/>
        <rFont val="Calibri"/>
        <family val="2"/>
        <scheme val="minor"/>
      </rPr>
      <t xml:space="preserve">Home &gt; Conditional Formatting &gt; Top/Bottom Rules </t>
    </r>
  </si>
  <si>
    <t>Below Average</t>
  </si>
  <si>
    <t>Above Average</t>
  </si>
  <si>
    <t>Average</t>
  </si>
  <si>
    <r>
      <rPr>
        <b/>
        <sz val="11"/>
        <color theme="1"/>
        <rFont val="Calibri"/>
        <family val="2"/>
        <scheme val="minor"/>
      </rPr>
      <t>Excel Data Bars</t>
    </r>
    <r>
      <rPr>
        <sz val="11"/>
        <color theme="1"/>
        <rFont val="Calibri"/>
        <family val="2"/>
        <scheme val="minor"/>
      </rPr>
      <t xml:space="preserve"> are premade types of conditional formatting in Excel used to add colored bars to cells in a range to indicate how large the cell values are compared to the other values.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</si>
</sst>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b/>
      <sz val="11"/>
      <name val="Calibri"/>
      <family val="2"/>
      <scheme val="minor"/>
    </font>
    <font>
      <b/>
      <u/>
      <sz val="14"/>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right/>
      <top style="thin">
        <color theme="4" tint="0.39997558519241921"/>
      </top>
      <bottom/>
      <diagonal/>
    </border>
    <border>
      <left style="medium">
        <color indexed="64"/>
      </left>
      <right/>
      <top style="thin">
        <color theme="4" tint="0.39997558519241921"/>
      </top>
      <bottom style="medium">
        <color indexed="64"/>
      </bottom>
      <diagonal/>
    </border>
    <border>
      <left/>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theme="4" tint="0.39997558519241921"/>
      </top>
      <bottom/>
      <diagonal/>
    </border>
    <border>
      <left/>
      <right style="medium">
        <color indexed="64"/>
      </right>
      <top style="thin">
        <color theme="4" tint="0.39997558519241921"/>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s>
  <cellStyleXfs count="1">
    <xf numFmtId="0" fontId="0" fillId="0" borderId="0"/>
  </cellStyleXfs>
  <cellXfs count="132">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0" fontId="0" fillId="0" borderId="0" xfId="0" quotePrefix="1"/>
    <xf numFmtId="0" fontId="0" fillId="0" borderId="15" xfId="0" applyBorder="1" applyAlignment="1">
      <alignment vertical="center" wrapText="1"/>
    </xf>
    <xf numFmtId="0" fontId="0" fillId="0" borderId="1" xfId="0" applyBorder="1" applyAlignment="1">
      <alignment vertical="center" wrapText="1"/>
    </xf>
    <xf numFmtId="0" fontId="0" fillId="0" borderId="15" xfId="0" quotePrefix="1" applyBorder="1" applyAlignment="1">
      <alignment vertical="center" wrapText="1"/>
    </xf>
    <xf numFmtId="0" fontId="0" fillId="0" borderId="11" xfId="0" applyBorder="1" applyAlignment="1">
      <alignment horizontal="left" vertical="center" wrapText="1"/>
    </xf>
    <xf numFmtId="0" fontId="0" fillId="0" borderId="11" xfId="0" quotePrefix="1" applyBorder="1" applyAlignment="1">
      <alignment vertical="center" wrapText="1"/>
    </xf>
    <xf numFmtId="0" fontId="0" fillId="0" borderId="8" xfId="0" applyBorder="1" applyAlignment="1">
      <alignment horizontal="left" vertical="center" wrapText="1"/>
    </xf>
    <xf numFmtId="0" fontId="1" fillId="3" borderId="2" xfId="0" applyFont="1" applyFill="1" applyBorder="1" applyAlignment="1">
      <alignment horizontal="left" vertical="center" wrapText="1"/>
    </xf>
    <xf numFmtId="0" fontId="0" fillId="0" borderId="20" xfId="0" applyBorder="1" applyAlignment="1">
      <alignment horizontal="center" vertical="center"/>
    </xf>
    <xf numFmtId="0" fontId="0" fillId="0" borderId="21" xfId="0" applyBorder="1" applyAlignment="1">
      <alignment horizontal="center" vertical="center"/>
    </xf>
    <xf numFmtId="0" fontId="1" fillId="0" borderId="21" xfId="0" applyFont="1" applyBorder="1" applyAlignment="1">
      <alignment horizontal="center" vertical="center"/>
    </xf>
    <xf numFmtId="0" fontId="0" fillId="0" borderId="7" xfId="0" applyBorder="1"/>
    <xf numFmtId="0" fontId="0" fillId="0" borderId="10" xfId="0" applyBorder="1"/>
    <xf numFmtId="14" fontId="0" fillId="4" borderId="33" xfId="0" applyNumberFormat="1" applyFill="1" applyBorder="1"/>
    <xf numFmtId="0" fontId="0" fillId="4" borderId="27" xfId="0" applyFill="1" applyBorder="1"/>
    <xf numFmtId="0" fontId="0" fillId="4" borderId="34" xfId="0" applyFill="1" applyBorder="1"/>
    <xf numFmtId="14" fontId="0" fillId="0" borderId="33" xfId="0" applyNumberFormat="1" applyBorder="1"/>
    <xf numFmtId="0" fontId="0" fillId="0" borderId="27" xfId="0" applyBorder="1"/>
    <xf numFmtId="0" fontId="0" fillId="0" borderId="34" xfId="0" applyBorder="1"/>
    <xf numFmtId="14" fontId="0" fillId="4" borderId="28" xfId="0" applyNumberFormat="1" applyFill="1" applyBorder="1"/>
    <xf numFmtId="0" fontId="0" fillId="4" borderId="29" xfId="0" applyFill="1" applyBorder="1"/>
    <xf numFmtId="0" fontId="0" fillId="4" borderId="30" xfId="0" applyFill="1" applyBorder="1"/>
    <xf numFmtId="14" fontId="0" fillId="0" borderId="6" xfId="0" applyNumberFormat="1" applyBorder="1"/>
    <xf numFmtId="14" fontId="9" fillId="4" borderId="35" xfId="0" applyNumberFormat="1" applyFont="1" applyFill="1" applyBorder="1"/>
    <xf numFmtId="0" fontId="9" fillId="4" borderId="35" xfId="0" applyFont="1" applyFill="1" applyBorder="1"/>
    <xf numFmtId="0" fontId="9" fillId="4" borderId="9" xfId="0" applyFont="1" applyFill="1" applyBorder="1"/>
    <xf numFmtId="0" fontId="0" fillId="0" borderId="12" xfId="0" applyBorder="1" applyAlignment="1">
      <alignment horizontal="left" vertical="center"/>
    </xf>
    <xf numFmtId="0" fontId="0" fillId="0" borderId="15" xfId="0" applyBorder="1" applyAlignment="1">
      <alignment horizontal="left" vertical="center"/>
    </xf>
    <xf numFmtId="0" fontId="0" fillId="4" borderId="1" xfId="0" applyFill="1" applyBorder="1" applyAlignment="1">
      <alignment horizontal="left" vertical="center"/>
    </xf>
    <xf numFmtId="0" fontId="0" fillId="0" borderId="1"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36" xfId="0" applyBorder="1" applyAlignment="1">
      <alignment horizontal="left" vertical="center"/>
    </xf>
    <xf numFmtId="0" fontId="0" fillId="4" borderId="8" xfId="0" applyFill="1" applyBorder="1" applyAlignment="1">
      <alignment horizontal="left" vertical="center"/>
    </xf>
    <xf numFmtId="0" fontId="0" fillId="0" borderId="8" xfId="0" applyBorder="1" applyAlignment="1">
      <alignment horizontal="left" vertical="center"/>
    </xf>
    <xf numFmtId="0" fontId="0" fillId="0" borderId="37" xfId="0" applyBorder="1" applyAlignment="1">
      <alignment horizontal="left" vertical="center"/>
    </xf>
    <xf numFmtId="0" fontId="0" fillId="0" borderId="38" xfId="0" applyBorder="1" applyAlignment="1">
      <alignment horizontal="left" vertical="center"/>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0" fillId="3" borderId="0" xfId="0" applyFill="1"/>
    <xf numFmtId="0" fontId="0" fillId="0" borderId="13" xfId="0" applyBorder="1" applyAlignment="1">
      <alignment horizontal="left" vertical="center"/>
    </xf>
    <xf numFmtId="0" fontId="1"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right" vertical="center"/>
    </xf>
    <xf numFmtId="0" fontId="0" fillId="5" borderId="0" xfId="0" applyFill="1" applyAlignment="1">
      <alignment horizontal="right" vertical="center"/>
    </xf>
    <xf numFmtId="49" fontId="1" fillId="0" borderId="2" xfId="0" quotePrefix="1" applyNumberFormat="1" applyFont="1" applyBorder="1" applyAlignment="1">
      <alignment wrapText="1"/>
    </xf>
    <xf numFmtId="0" fontId="0" fillId="0" borderId="0" xfId="0" quotePrefix="1" applyAlignment="1">
      <alignment wrapText="1"/>
    </xf>
    <xf numFmtId="0" fontId="0" fillId="0" borderId="11"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right"/>
    </xf>
    <xf numFmtId="0" fontId="0" fillId="0" borderId="43" xfId="0" applyBorder="1" applyAlignment="1">
      <alignment horizontal="left" vertical="center"/>
    </xf>
    <xf numFmtId="0" fontId="0" fillId="0" borderId="32" xfId="0" applyBorder="1" applyAlignment="1">
      <alignment horizontal="left" vertical="center"/>
    </xf>
    <xf numFmtId="0" fontId="0" fillId="0" borderId="31" xfId="0" applyBorder="1" applyAlignment="1">
      <alignment horizontal="left" vertical="center"/>
    </xf>
    <xf numFmtId="0" fontId="0" fillId="0" borderId="44" xfId="0" applyBorder="1" applyAlignment="1">
      <alignment horizontal="left" vertical="center"/>
    </xf>
    <xf numFmtId="16" fontId="0" fillId="0" borderId="14" xfId="0" applyNumberFormat="1" applyBorder="1"/>
    <xf numFmtId="16" fontId="0" fillId="0" borderId="16" xfId="0" applyNumberFormat="1" applyBorder="1"/>
    <xf numFmtId="16" fontId="0" fillId="0" borderId="19" xfId="0" applyNumberFormat="1" applyBorder="1"/>
    <xf numFmtId="0" fontId="0" fillId="0" borderId="1" xfId="0" applyBorder="1" applyAlignment="1">
      <alignment horizontal="center"/>
    </xf>
    <xf numFmtId="0" fontId="0" fillId="0" borderId="15" xfId="0" applyBorder="1" applyAlignment="1">
      <alignment horizontal="left" vertical="center" wrapText="1"/>
    </xf>
    <xf numFmtId="0" fontId="0" fillId="0" borderId="1" xfId="0" applyBorder="1" applyAlignment="1">
      <alignment horizontal="left" vertical="center" wrapText="1"/>
    </xf>
    <xf numFmtId="0" fontId="0" fillId="0" borderId="16"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2" xfId="0" applyBorder="1" applyAlignment="1">
      <alignment horizontal="left" vertical="center" wrapText="1"/>
    </xf>
    <xf numFmtId="0" fontId="0" fillId="0" borderId="24" xfId="0" applyBorder="1" applyAlignment="1">
      <alignment horizontal="left" vertical="center" wrapText="1"/>
    </xf>
    <xf numFmtId="0" fontId="0" fillId="0" borderId="23" xfId="0" applyBorder="1" applyAlignment="1">
      <alignment horizontal="left" vertical="center" wrapText="1"/>
    </xf>
    <xf numFmtId="0" fontId="0" fillId="0" borderId="26"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3" borderId="26" xfId="0" applyFill="1" applyBorder="1" applyAlignment="1">
      <alignment horizontal="left" vertical="center" wrapText="1"/>
    </xf>
    <xf numFmtId="0" fontId="0" fillId="3" borderId="22" xfId="0" applyFill="1" applyBorder="1" applyAlignment="1">
      <alignment horizontal="left" vertical="center" wrapText="1"/>
    </xf>
    <xf numFmtId="0" fontId="0" fillId="3" borderId="23" xfId="0" applyFill="1" applyBorder="1" applyAlignment="1">
      <alignment horizontal="left" vertical="center" wrapText="1"/>
    </xf>
    <xf numFmtId="0" fontId="1" fillId="0" borderId="15" xfId="0" applyFont="1" applyBorder="1" applyAlignment="1">
      <alignment horizontal="left" vertical="center" wrapText="1"/>
    </xf>
    <xf numFmtId="0" fontId="1" fillId="0" borderId="1" xfId="0" applyFont="1" applyBorder="1" applyAlignment="1">
      <alignment horizontal="left" vertical="center" wrapText="1"/>
    </xf>
    <xf numFmtId="0" fontId="1" fillId="0" borderId="16" xfId="0" applyFont="1" applyBorder="1" applyAlignment="1">
      <alignment horizontal="left" vertical="center" wrapText="1"/>
    </xf>
    <xf numFmtId="0" fontId="0" fillId="3" borderId="15" xfId="0" applyFill="1" applyBorder="1" applyAlignment="1">
      <alignment horizontal="left" vertical="center" wrapText="1"/>
    </xf>
    <xf numFmtId="0" fontId="0" fillId="3" borderId="1" xfId="0" applyFill="1" applyBorder="1" applyAlignment="1">
      <alignment horizontal="left" vertical="center" wrapText="1"/>
    </xf>
    <xf numFmtId="0" fontId="0" fillId="3" borderId="16" xfId="0" applyFill="1" applyBorder="1" applyAlignment="1">
      <alignment horizontal="left" vertical="center" wrapText="1"/>
    </xf>
    <xf numFmtId="0" fontId="0" fillId="3" borderId="8" xfId="0" applyFill="1" applyBorder="1" applyAlignment="1">
      <alignment horizontal="left" vertical="center" wrapText="1"/>
    </xf>
    <xf numFmtId="0" fontId="0" fillId="0" borderId="26" xfId="0" applyBorder="1" applyAlignment="1">
      <alignment horizontal="left" vertical="center" wrapText="1"/>
    </xf>
    <xf numFmtId="0" fontId="0" fillId="0" borderId="15" xfId="0" quotePrefix="1" applyBorder="1" applyAlignment="1">
      <alignment horizontal="left" vertical="center" wrapText="1"/>
    </xf>
    <xf numFmtId="0" fontId="8" fillId="0" borderId="15" xfId="0" applyFont="1" applyBorder="1" applyAlignment="1">
      <alignment horizontal="left" vertical="center" wrapText="1"/>
    </xf>
    <xf numFmtId="0" fontId="8" fillId="0" borderId="1" xfId="0" applyFont="1" applyBorder="1" applyAlignment="1">
      <alignment horizontal="left" vertical="center" wrapText="1"/>
    </xf>
    <xf numFmtId="0" fontId="8" fillId="0" borderId="25" xfId="0" applyFont="1" applyBorder="1" applyAlignment="1">
      <alignment horizontal="left" vertical="center" wrapText="1"/>
    </xf>
    <xf numFmtId="0" fontId="8" fillId="0" borderId="16" xfId="0" applyFont="1" applyBorder="1" applyAlignment="1">
      <alignment horizontal="left" vertical="center" wrapText="1"/>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0" fillId="0" borderId="12"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10" fillId="0" borderId="0" xfId="0" applyFont="1" applyAlignment="1">
      <alignment horizontal="left" vertical="center"/>
    </xf>
    <xf numFmtId="0" fontId="1" fillId="0" borderId="0" xfId="0" applyFont="1" applyAlignment="1">
      <alignment horizontal="left"/>
    </xf>
    <xf numFmtId="0" fontId="4" fillId="0" borderId="0" xfId="0" applyFont="1" applyAlignment="1">
      <alignment horizontal="center"/>
    </xf>
    <xf numFmtId="0" fontId="0" fillId="0" borderId="0" xfId="0" applyAlignment="1"/>
    <xf numFmtId="0" fontId="0" fillId="0" borderId="1" xfId="0" applyBorder="1" applyAlignment="1"/>
    <xf numFmtId="0" fontId="0" fillId="0" borderId="15" xfId="0" applyBorder="1" applyAlignment="1"/>
    <xf numFmtId="0" fontId="0" fillId="0" borderId="16" xfId="0" applyBorder="1" applyAlignment="1"/>
    <xf numFmtId="0" fontId="0" fillId="0" borderId="17" xfId="0" applyBorder="1" applyAlignment="1"/>
    <xf numFmtId="0" fontId="0" fillId="0" borderId="18" xfId="0" applyBorder="1" applyAlignment="1"/>
    <xf numFmtId="0" fontId="0" fillId="0" borderId="19" xfId="0" applyBorder="1" applyAlignment="1"/>
    <xf numFmtId="0" fontId="0" fillId="0" borderId="36" xfId="0" applyBorder="1" applyAlignment="1"/>
    <xf numFmtId="0" fontId="0" fillId="0" borderId="8" xfId="0" applyBorder="1" applyAlignment="1"/>
    <xf numFmtId="0" fontId="0" fillId="0" borderId="37" xfId="0" applyBorder="1" applyAlignment="1"/>
    <xf numFmtId="0" fontId="0" fillId="0" borderId="38" xfId="0" applyBorder="1" applyAlignment="1"/>
    <xf numFmtId="0" fontId="0" fillId="0" borderId="39" xfId="0" applyBorder="1" applyAlignment="1"/>
    <xf numFmtId="0" fontId="0" fillId="0" borderId="40" xfId="0" applyBorder="1" applyAlignment="1"/>
    <xf numFmtId="0" fontId="1" fillId="3" borderId="3" xfId="0" applyFont="1" applyFill="1" applyBorder="1" applyAlignment="1">
      <alignment horizontal="center"/>
    </xf>
    <xf numFmtId="0" fontId="1" fillId="3" borderId="4" xfId="0" applyFont="1" applyFill="1" applyBorder="1" applyAlignment="1">
      <alignment horizontal="center"/>
    </xf>
    <xf numFmtId="0" fontId="1" fillId="3" borderId="40" xfId="0" applyFont="1" applyFill="1" applyBorder="1" applyAlignment="1"/>
  </cellXfs>
  <cellStyles count="1">
    <cellStyle name="Normal" xfId="0" builtinId="0"/>
  </cellStyles>
  <dxfs count="8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7999816888943144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79998168889431442"/>
        </patternFill>
      </fill>
    </dxf>
    <dxf>
      <font>
        <color rgb="FF9C0006"/>
      </font>
      <fill>
        <patternFill>
          <bgColor rgb="FFFFC7CE"/>
        </patternFill>
      </fill>
    </dxf>
    <dxf>
      <border>
        <left style="thin">
          <color rgb="FF9C0006"/>
        </left>
        <right style="thin">
          <color rgb="FF9C0006"/>
        </right>
        <top style="thin">
          <color rgb="FF9C0006"/>
        </top>
        <bottom style="thin">
          <color rgb="FF9C0006"/>
        </bottom>
      </border>
    </dxf>
    <dxf>
      <font>
        <color rgb="FF9C0006"/>
      </font>
    </dxf>
    <dxf>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medium">
          <color indexed="64"/>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medium">
          <color indexed="64"/>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medium">
          <color indexed="64"/>
        </left>
        <right/>
        <top style="thin">
          <color theme="4" tint="0.39997558519241921"/>
        </top>
        <bottom style="medium">
          <color indexed="64"/>
        </bottom>
        <vertical/>
        <horizontal/>
      </border>
    </dxf>
    <dxf>
      <border outline="0">
        <top style="thin">
          <color theme="4" tint="0.39997558519241921"/>
        </top>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auto="1"/>
        <name val="Calibri"/>
        <family val="2"/>
        <scheme val="minor"/>
      </font>
      <fill>
        <patternFill patternType="solid">
          <fgColor theme="4" tint="0.79998168889431442"/>
          <bgColor theme="4" tint="0.79998168889431442"/>
        </patternFill>
      </fill>
      <border diagonalUp="0" diagonalDown="0" outline="0">
        <left style="thin">
          <color indexed="64"/>
        </left>
        <right style="thin">
          <color indexed="64"/>
        </right>
        <top/>
        <bottom/>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Learning.xlsm]Pivot Table and Chart!PivotTable5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 and Chart'!$J$2</c:f>
              <c:strCache>
                <c:ptCount val="1"/>
                <c:pt idx="0">
                  <c:v>Total</c:v>
                </c:pt>
              </c:strCache>
            </c:strRef>
          </c:tx>
          <c:spPr>
            <a:solidFill>
              <a:schemeClr val="accent1"/>
            </a:solidFill>
            <a:ln>
              <a:noFill/>
            </a:ln>
            <a:effectLst/>
            <a:sp3d/>
          </c:spPr>
          <c:invertIfNegative val="0"/>
          <c:cat>
            <c:multiLvlStrRef>
              <c:f>'Pivot Table and Chart'!$I$3:$I$19</c:f>
              <c:multiLvlStrCache>
                <c:ptCount val="12"/>
                <c:lvl>
                  <c:pt idx="0">
                    <c:v>Andrews</c:v>
                  </c:pt>
                  <c:pt idx="1">
                    <c:v>Gill</c:v>
                  </c:pt>
                  <c:pt idx="2">
                    <c:v>Jardine</c:v>
                  </c:pt>
                  <c:pt idx="3">
                    <c:v>Kivell</c:v>
                  </c:pt>
                  <c:pt idx="4">
                    <c:v>Morgan</c:v>
                  </c:pt>
                  <c:pt idx="5">
                    <c:v>Smith</c:v>
                  </c:pt>
                  <c:pt idx="6">
                    <c:v>Howard</c:v>
                  </c:pt>
                  <c:pt idx="7">
                    <c:v>Jones</c:v>
                  </c:pt>
                  <c:pt idx="8">
                    <c:v>Parent</c:v>
                  </c:pt>
                  <c:pt idx="9">
                    <c:v>Sorvino</c:v>
                  </c:pt>
                  <c:pt idx="10">
                    <c:v>Thompson</c:v>
                  </c:pt>
                  <c:pt idx="11">
                    <c:v>(blank)</c:v>
                  </c:pt>
                </c:lvl>
                <c:lvl>
                  <c:pt idx="0">
                    <c:v>Central</c:v>
                  </c:pt>
                  <c:pt idx="6">
                    <c:v>East</c:v>
                  </c:pt>
                  <c:pt idx="9">
                    <c:v>West</c:v>
                  </c:pt>
                  <c:pt idx="11">
                    <c:v>(blank)</c:v>
                  </c:pt>
                </c:lvl>
              </c:multiLvlStrCache>
            </c:multiLvlStrRef>
          </c:cat>
          <c:val>
            <c:numRef>
              <c:f>'Pivot Table and Chart'!$J$3:$J$19</c:f>
              <c:numCache>
                <c:formatCode>General</c:formatCode>
                <c:ptCount val="12"/>
                <c:pt idx="0">
                  <c:v>438.37</c:v>
                </c:pt>
                <c:pt idx="1">
                  <c:v>1749.8700000000001</c:v>
                </c:pt>
                <c:pt idx="2">
                  <c:v>2832.15</c:v>
                </c:pt>
                <c:pt idx="3">
                  <c:v>2309.84</c:v>
                </c:pt>
                <c:pt idx="4">
                  <c:v>1387.77</c:v>
                </c:pt>
                <c:pt idx="5">
                  <c:v>2191.4300000000003</c:v>
                </c:pt>
                <c:pt idx="6">
                  <c:v>536.75</c:v>
                </c:pt>
                <c:pt idx="7">
                  <c:v>2373.08</c:v>
                </c:pt>
                <c:pt idx="8">
                  <c:v>3102.2999999999997</c:v>
                </c:pt>
                <c:pt idx="9">
                  <c:v>1283.6099999999999</c:v>
                </c:pt>
                <c:pt idx="10">
                  <c:v>1203.1099999999999</c:v>
                </c:pt>
              </c:numCache>
            </c:numRef>
          </c:val>
          <c:extLst>
            <c:ext xmlns:c16="http://schemas.microsoft.com/office/drawing/2014/chart" uri="{C3380CC4-5D6E-409C-BE32-E72D297353CC}">
              <c16:uniqueId val="{00000000-0942-42E7-A434-641BF8A4F14E}"/>
            </c:ext>
          </c:extLst>
        </c:ser>
        <c:dLbls>
          <c:showLegendKey val="0"/>
          <c:showVal val="0"/>
          <c:showCatName val="0"/>
          <c:showSerName val="0"/>
          <c:showPercent val="0"/>
          <c:showBubbleSize val="0"/>
        </c:dLbls>
        <c:gapWidth val="150"/>
        <c:shape val="box"/>
        <c:axId val="203851776"/>
        <c:axId val="203861376"/>
        <c:axId val="0"/>
      </c:bar3DChart>
      <c:catAx>
        <c:axId val="2038517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61376"/>
        <c:crosses val="autoZero"/>
        <c:auto val="1"/>
        <c:lblAlgn val="ctr"/>
        <c:lblOffset val="100"/>
        <c:noMultiLvlLbl val="0"/>
      </c:catAx>
      <c:valAx>
        <c:axId val="20386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517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twoCellAnchor editAs="oneCell">
    <xdr:from>
      <xdr:col>8</xdr:col>
      <xdr:colOff>886238</xdr:colOff>
      <xdr:row>37</xdr:row>
      <xdr:rowOff>5356</xdr:rowOff>
    </xdr:from>
    <xdr:to>
      <xdr:col>14</xdr:col>
      <xdr:colOff>11577</xdr:colOff>
      <xdr:row>38</xdr:row>
      <xdr:rowOff>469500</xdr:rowOff>
    </xdr:to>
    <xdr:pic>
      <xdr:nvPicPr>
        <xdr:cNvPr id="11" name="Picture 10">
          <a:extLst>
            <a:ext uri="{FF2B5EF4-FFF2-40B4-BE49-F238E27FC236}">
              <a16:creationId xmlns:a16="http://schemas.microsoft.com/office/drawing/2014/main" id="{F642B9A7-A8DA-8B38-BD13-71CDC4A2CA97}"/>
            </a:ext>
          </a:extLst>
        </xdr:cNvPr>
        <xdr:cNvPicPr>
          <a:picLocks noChangeAspect="1"/>
        </xdr:cNvPicPr>
      </xdr:nvPicPr>
      <xdr:blipFill>
        <a:blip xmlns:r="http://schemas.openxmlformats.org/officeDocument/2006/relationships" r:embed="rId8"/>
        <a:stretch>
          <a:fillRect/>
        </a:stretch>
      </xdr:blipFill>
      <xdr:spPr>
        <a:xfrm>
          <a:off x="9185412" y="10101856"/>
          <a:ext cx="6148991" cy="1010796"/>
        </a:xfrm>
        <a:prstGeom prst="rect">
          <a:avLst/>
        </a:prstGeom>
      </xdr:spPr>
    </xdr:pic>
    <xdr:clientData/>
  </xdr:twoCellAnchor>
  <xdr:twoCellAnchor editAs="oneCell">
    <xdr:from>
      <xdr:col>6</xdr:col>
      <xdr:colOff>745434</xdr:colOff>
      <xdr:row>28</xdr:row>
      <xdr:rowOff>212867</xdr:rowOff>
    </xdr:from>
    <xdr:to>
      <xdr:col>9</xdr:col>
      <xdr:colOff>828357</xdr:colOff>
      <xdr:row>31</xdr:row>
      <xdr:rowOff>39601</xdr:rowOff>
    </xdr:to>
    <xdr:pic>
      <xdr:nvPicPr>
        <xdr:cNvPr id="12" name="Picture 11">
          <a:extLst>
            <a:ext uri="{FF2B5EF4-FFF2-40B4-BE49-F238E27FC236}">
              <a16:creationId xmlns:a16="http://schemas.microsoft.com/office/drawing/2014/main" id="{E3D09414-274B-E746-E3FF-72EAFC927996}"/>
            </a:ext>
          </a:extLst>
        </xdr:cNvPr>
        <xdr:cNvPicPr>
          <a:picLocks noChangeAspect="1"/>
        </xdr:cNvPicPr>
      </xdr:nvPicPr>
      <xdr:blipFill>
        <a:blip xmlns:r="http://schemas.openxmlformats.org/officeDocument/2006/relationships" r:embed="rId9"/>
        <a:stretch>
          <a:fillRect/>
        </a:stretch>
      </xdr:blipFill>
      <xdr:spPr>
        <a:xfrm>
          <a:off x="6816586" y="7733476"/>
          <a:ext cx="3470510" cy="746103"/>
        </a:xfrm>
        <a:prstGeom prst="rect">
          <a:avLst/>
        </a:prstGeom>
      </xdr:spPr>
    </xdr:pic>
    <xdr:clientData/>
  </xdr:twoCellAnchor>
  <xdr:twoCellAnchor editAs="oneCell">
    <xdr:from>
      <xdr:col>11</xdr:col>
      <xdr:colOff>797360</xdr:colOff>
      <xdr:row>38</xdr:row>
      <xdr:rowOff>530087</xdr:rowOff>
    </xdr:from>
    <xdr:to>
      <xdr:col>12</xdr:col>
      <xdr:colOff>1068456</xdr:colOff>
      <xdr:row>46</xdr:row>
      <xdr:rowOff>16565</xdr:rowOff>
    </xdr:to>
    <xdr:pic>
      <xdr:nvPicPr>
        <xdr:cNvPr id="7" name="Picture 6">
          <a:extLst>
            <a:ext uri="{FF2B5EF4-FFF2-40B4-BE49-F238E27FC236}">
              <a16:creationId xmlns:a16="http://schemas.microsoft.com/office/drawing/2014/main" id="{9258C6C8-8038-2320-16A5-1C25354E9963}"/>
            </a:ext>
          </a:extLst>
        </xdr:cNvPr>
        <xdr:cNvPicPr>
          <a:picLocks noChangeAspect="1"/>
        </xdr:cNvPicPr>
      </xdr:nvPicPr>
      <xdr:blipFill>
        <a:blip xmlns:r="http://schemas.openxmlformats.org/officeDocument/2006/relationships" r:embed="rId10"/>
        <a:stretch>
          <a:fillRect/>
        </a:stretch>
      </xdr:blipFill>
      <xdr:spPr>
        <a:xfrm>
          <a:off x="12649773" y="11173239"/>
          <a:ext cx="1463792" cy="24516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533400</xdr:colOff>
      <xdr:row>1</xdr:row>
      <xdr:rowOff>47625</xdr:rowOff>
    </xdr:from>
    <xdr:to>
      <xdr:col>19</xdr:col>
      <xdr:colOff>57150</xdr:colOff>
      <xdr:row>17</xdr:row>
      <xdr:rowOff>180975</xdr:rowOff>
    </xdr:to>
    <xdr:graphicFrame macro="">
      <xdr:nvGraphicFramePr>
        <xdr:cNvPr id="3" name="Chart 2">
          <a:extLst>
            <a:ext uri="{FF2B5EF4-FFF2-40B4-BE49-F238E27FC236}">
              <a16:creationId xmlns:a16="http://schemas.microsoft.com/office/drawing/2014/main" id="{A82C92FB-F3F0-4459-A8EB-0D4D27A7BB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2764580</xdr:colOff>
      <xdr:row>15</xdr:row>
      <xdr:rowOff>66676</xdr:rowOff>
    </xdr:to>
    <xdr:pic>
      <xdr:nvPicPr>
        <xdr:cNvPr id="5" name="Picture 4">
          <a:extLst>
            <a:ext uri="{FF2B5EF4-FFF2-40B4-BE49-F238E27FC236}">
              <a16:creationId xmlns:a16="http://schemas.microsoft.com/office/drawing/2014/main" id="{FA0D3CFF-87DB-9FEB-5576-758B455840F8}"/>
            </a:ext>
          </a:extLst>
        </xdr:cNvPr>
        <xdr:cNvPicPr>
          <a:picLocks noChangeAspect="1"/>
        </xdr:cNvPicPr>
      </xdr:nvPicPr>
      <xdr:blipFill>
        <a:blip xmlns:r="http://schemas.openxmlformats.org/officeDocument/2006/relationships" r:embed="rId1"/>
        <a:stretch>
          <a:fillRect/>
        </a:stretch>
      </xdr:blipFill>
      <xdr:spPr>
        <a:xfrm>
          <a:off x="0" y="1"/>
          <a:ext cx="2764580" cy="3124200"/>
        </a:xfrm>
        <a:prstGeom prst="rect">
          <a:avLst/>
        </a:prstGeom>
      </xdr:spPr>
    </xdr:pic>
    <xdr:clientData/>
  </xdr:twoCellAnchor>
  <xdr:twoCellAnchor editAs="oneCell">
    <xdr:from>
      <xdr:col>0</xdr:col>
      <xdr:colOff>76200</xdr:colOff>
      <xdr:row>17</xdr:row>
      <xdr:rowOff>28575</xdr:rowOff>
    </xdr:from>
    <xdr:to>
      <xdr:col>0</xdr:col>
      <xdr:colOff>2857500</xdr:colOff>
      <xdr:row>32</xdr:row>
      <xdr:rowOff>17536</xdr:rowOff>
    </xdr:to>
    <xdr:pic>
      <xdr:nvPicPr>
        <xdr:cNvPr id="8" name="Picture 7">
          <a:extLst>
            <a:ext uri="{FF2B5EF4-FFF2-40B4-BE49-F238E27FC236}">
              <a16:creationId xmlns:a16="http://schemas.microsoft.com/office/drawing/2014/main" id="{9F279250-433F-DF73-B9B7-DC7CE3FC5BC5}"/>
            </a:ext>
          </a:extLst>
        </xdr:cNvPr>
        <xdr:cNvPicPr>
          <a:picLocks noChangeAspect="1"/>
        </xdr:cNvPicPr>
      </xdr:nvPicPr>
      <xdr:blipFill>
        <a:blip xmlns:r="http://schemas.openxmlformats.org/officeDocument/2006/relationships" r:embed="rId2"/>
        <a:stretch>
          <a:fillRect/>
        </a:stretch>
      </xdr:blipFill>
      <xdr:spPr>
        <a:xfrm>
          <a:off x="76200" y="3467100"/>
          <a:ext cx="2781300" cy="3094111"/>
        </a:xfrm>
        <a:prstGeom prst="rect">
          <a:avLst/>
        </a:prstGeom>
      </xdr:spPr>
    </xdr:pic>
    <xdr:clientData/>
  </xdr:twoCellAnchor>
  <xdr:twoCellAnchor editAs="oneCell">
    <xdr:from>
      <xdr:col>0</xdr:col>
      <xdr:colOff>0</xdr:colOff>
      <xdr:row>38</xdr:row>
      <xdr:rowOff>9526</xdr:rowOff>
    </xdr:from>
    <xdr:to>
      <xdr:col>0</xdr:col>
      <xdr:colOff>2969549</xdr:colOff>
      <xdr:row>56</xdr:row>
      <xdr:rowOff>9526</xdr:rowOff>
    </xdr:to>
    <xdr:pic>
      <xdr:nvPicPr>
        <xdr:cNvPr id="2" name="Picture 1">
          <a:extLst>
            <a:ext uri="{FF2B5EF4-FFF2-40B4-BE49-F238E27FC236}">
              <a16:creationId xmlns:a16="http://schemas.microsoft.com/office/drawing/2014/main" id="{A720D6AE-DAED-4D32-6224-99EB344BDDDE}"/>
            </a:ext>
          </a:extLst>
        </xdr:cNvPr>
        <xdr:cNvPicPr>
          <a:picLocks noChangeAspect="1"/>
        </xdr:cNvPicPr>
      </xdr:nvPicPr>
      <xdr:blipFill>
        <a:blip xmlns:r="http://schemas.openxmlformats.org/officeDocument/2006/relationships" r:embed="rId3"/>
        <a:stretch>
          <a:fillRect/>
        </a:stretch>
      </xdr:blipFill>
      <xdr:spPr>
        <a:xfrm>
          <a:off x="0" y="7715251"/>
          <a:ext cx="2969549" cy="3543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21.882684837961" createdVersion="8" refreshedVersion="8" minRefreshableVersion="3" recordCount="44" xr:uid="{9ACD62F8-C945-420C-821F-5E25827C6DC0}">
  <cacheSource type="worksheet">
    <worksheetSource name="Table1"/>
  </cacheSource>
  <cacheFields count="7">
    <cacheField name="OrderDate" numFmtId="14">
      <sharedItems containsNonDate="0" containsDate="1" containsString="0" containsBlank="1" minDate="2021-01-06T00:00:00" maxDate="2022-12-22T00:00:00"/>
    </cacheField>
    <cacheField name="Region" numFmtId="0">
      <sharedItems containsBlank="1" count="4">
        <s v="Central"/>
        <s v="East"/>
        <s v="West"/>
        <m/>
      </sharedItems>
    </cacheField>
    <cacheField name="Rep" numFmtId="0">
      <sharedItems containsBlank="1" count="12">
        <s v="Kivell"/>
        <s v="Jardine"/>
        <s v="Gill"/>
        <s v="Andrews"/>
        <s v="Morgan"/>
        <s v="Smith"/>
        <s v="Jones"/>
        <s v="Howard"/>
        <s v="Parent"/>
        <s v="Sorvino"/>
        <s v="Thompson"/>
        <m/>
      </sharedItems>
    </cacheField>
    <cacheField name="Item" numFmtId="0">
      <sharedItems containsBlank="1"/>
    </cacheField>
    <cacheField name="Units" numFmtId="0">
      <sharedItems containsString="0" containsBlank="1" containsNumber="1" containsInteger="1" minValue="3" maxValue="96"/>
    </cacheField>
    <cacheField name="Unit Cost" numFmtId="0">
      <sharedItems containsString="0" containsBlank="1" containsNumber="1" minValue="1.29" maxValue="275"/>
    </cacheField>
    <cacheField name="Total" numFmtId="0">
      <sharedItems containsString="0" containsBlank="1"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d v="2021-01-23T00:00:00"/>
    <x v="0"/>
    <x v="0"/>
    <s v="Binder"/>
    <n v="10"/>
    <n v="19.989999999999998"/>
    <n v="199.89999999999998"/>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r>
    <m/>
    <x v="3"/>
    <x v="1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4C61BE-3667-48DC-9729-0CA451C295E2}" name="PivotTable5"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2:J19" firstHeaderRow="1" firstDataRow="1" firstDataCol="1"/>
  <pivotFields count="7">
    <pivotField showAll="0"/>
    <pivotField axis="axisRow" showAll="0">
      <items count="5">
        <item x="0"/>
        <item x="1"/>
        <item x="2"/>
        <item x="3"/>
        <item t="default"/>
      </items>
    </pivotField>
    <pivotField axis="axisRow" showAll="0">
      <items count="13">
        <item x="3"/>
        <item x="2"/>
        <item x="7"/>
        <item x="1"/>
        <item x="6"/>
        <item x="0"/>
        <item x="4"/>
        <item x="8"/>
        <item x="5"/>
        <item x="9"/>
        <item x="10"/>
        <item x="11"/>
        <item t="default"/>
      </items>
    </pivotField>
    <pivotField showAll="0"/>
    <pivotField showAll="0"/>
    <pivotField showAll="0"/>
    <pivotField dataField="1" showAll="0"/>
  </pivotFields>
  <rowFields count="2">
    <field x="1"/>
    <field x="2"/>
  </rowFields>
  <rowItems count="17">
    <i>
      <x/>
    </i>
    <i r="1">
      <x/>
    </i>
    <i r="1">
      <x v="1"/>
    </i>
    <i r="1">
      <x v="3"/>
    </i>
    <i r="1">
      <x v="5"/>
    </i>
    <i r="1">
      <x v="6"/>
    </i>
    <i r="1">
      <x v="8"/>
    </i>
    <i>
      <x v="1"/>
    </i>
    <i r="1">
      <x v="2"/>
    </i>
    <i r="1">
      <x v="4"/>
    </i>
    <i r="1">
      <x v="7"/>
    </i>
    <i>
      <x v="2"/>
    </i>
    <i r="1">
      <x v="9"/>
    </i>
    <i r="1">
      <x v="10"/>
    </i>
    <i>
      <x v="3"/>
    </i>
    <i r="1">
      <x v="11"/>
    </i>
    <i t="grand">
      <x/>
    </i>
  </rowItems>
  <colItems count="1">
    <i/>
  </colItems>
  <dataFields count="1">
    <dataField name="Sum of Total"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C78936-40F5-4A34-AB14-E228675C4535}" name="Table1" displayName="Table1" ref="A1:G45" totalsRowShown="0" headerRowDxfId="81" dataDxfId="80" tableBorderDxfId="79">
  <autoFilter ref="A1:G45" xr:uid="{30C78936-40F5-4A34-AB14-E228675C4535}"/>
  <tableColumns count="7">
    <tableColumn id="1" xr3:uid="{719FB7CB-CE0D-4A37-928D-17323892BF78}" name="OrderDate" dataDxfId="78"/>
    <tableColumn id="2" xr3:uid="{48D26B01-5B78-4A35-BF23-7246C569C726}" name="Region" dataDxfId="77"/>
    <tableColumn id="3" xr3:uid="{77B04DB7-4A45-4BDE-AA4D-93059086AF61}" name="Rep" dataDxfId="76"/>
    <tableColumn id="4" xr3:uid="{B45DA848-F183-4786-80CA-6EB3E82E57F5}" name="Item" dataDxfId="75"/>
    <tableColumn id="5" xr3:uid="{6E2376DA-2214-4170-8137-5C5F2769E1F5}" name="Units" dataDxfId="74"/>
    <tableColumn id="6" xr3:uid="{2FC1BD59-4C23-445E-B03D-63A610471A45}" name="Unit Cost" dataDxfId="73"/>
    <tableColumn id="7" xr3:uid="{090A102B-7949-49F9-859E-2D7177CEDAA2}" name="Total" dataDxfId="72">
      <calculatedColumnFormula>E2*F2</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75" t="s">
        <v>0</v>
      </c>
      <c r="C2" s="75"/>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dimension ref="A1:N70"/>
  <sheetViews>
    <sheetView tabSelected="1" topLeftCell="A36" zoomScale="115" zoomScaleNormal="115" workbookViewId="0">
      <selection activeCell="B47" sqref="B47:N47"/>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104" t="s">
        <v>85</v>
      </c>
      <c r="B1" s="105"/>
      <c r="C1" s="106"/>
    </row>
    <row r="2" spans="1:14" ht="17.25" customHeight="1" x14ac:dyDescent="0.25">
      <c r="A2" s="24">
        <v>1</v>
      </c>
      <c r="B2" s="107" t="s">
        <v>72</v>
      </c>
      <c r="C2" s="108"/>
      <c r="D2" s="108"/>
      <c r="E2" s="108"/>
      <c r="F2" s="108"/>
      <c r="G2" s="108"/>
      <c r="H2" s="108"/>
      <c r="I2" s="108"/>
      <c r="J2" s="108"/>
      <c r="K2" s="108"/>
      <c r="L2" s="108"/>
      <c r="M2" s="108"/>
      <c r="N2" s="109"/>
    </row>
    <row r="3" spans="1:14" ht="15" x14ac:dyDescent="0.25">
      <c r="A3" s="25">
        <v>2</v>
      </c>
      <c r="B3" s="76" t="s">
        <v>69</v>
      </c>
      <c r="C3" s="77"/>
      <c r="D3" s="77"/>
      <c r="E3" s="77"/>
      <c r="F3" s="77"/>
      <c r="G3" s="77"/>
      <c r="H3" s="77"/>
      <c r="I3" s="77"/>
      <c r="J3" s="77"/>
      <c r="K3" s="77"/>
      <c r="L3" s="77"/>
      <c r="M3" s="77"/>
      <c r="N3" s="78"/>
    </row>
    <row r="4" spans="1:14" ht="15" x14ac:dyDescent="0.25">
      <c r="A4" s="25">
        <v>3</v>
      </c>
      <c r="B4" s="76" t="s">
        <v>70</v>
      </c>
      <c r="C4" s="77"/>
      <c r="D4" s="77"/>
      <c r="E4" s="77"/>
      <c r="F4" s="77"/>
      <c r="G4" s="77"/>
      <c r="H4" s="77"/>
      <c r="I4" s="77"/>
      <c r="J4" s="77"/>
      <c r="K4" s="77"/>
      <c r="L4" s="77"/>
      <c r="M4" s="77"/>
      <c r="N4" s="78"/>
    </row>
    <row r="5" spans="1:14" ht="21" customHeight="1" x14ac:dyDescent="0.25">
      <c r="A5" s="25">
        <v>4</v>
      </c>
      <c r="B5" s="94" t="s">
        <v>68</v>
      </c>
      <c r="C5" s="95"/>
      <c r="D5" s="95"/>
      <c r="E5" s="95"/>
      <c r="F5" s="95"/>
      <c r="G5" s="95"/>
      <c r="H5" s="95"/>
      <c r="I5" s="95"/>
      <c r="J5" s="95"/>
      <c r="K5" s="95"/>
      <c r="L5" s="95"/>
      <c r="M5" s="95"/>
      <c r="N5" s="96"/>
    </row>
    <row r="6" spans="1:14" ht="21" customHeight="1" x14ac:dyDescent="0.25">
      <c r="A6" s="25"/>
      <c r="B6" s="76"/>
      <c r="C6" s="77"/>
      <c r="D6" s="77"/>
      <c r="E6" s="77"/>
      <c r="F6" s="77"/>
      <c r="G6" s="77"/>
      <c r="H6" s="77"/>
      <c r="I6" s="77"/>
      <c r="J6" s="77"/>
      <c r="K6" s="77"/>
      <c r="L6" s="77"/>
      <c r="M6" s="77"/>
      <c r="N6" s="78"/>
    </row>
    <row r="7" spans="1:14" ht="20.25" customHeight="1" thickBot="1" x14ac:dyDescent="0.3">
      <c r="A7" s="25">
        <v>5</v>
      </c>
      <c r="B7" s="100" t="s">
        <v>71</v>
      </c>
      <c r="C7" s="101"/>
      <c r="D7" s="102"/>
      <c r="E7" s="101"/>
      <c r="F7" s="101"/>
      <c r="G7" s="101"/>
      <c r="H7" s="101"/>
      <c r="I7" s="101"/>
      <c r="J7" s="101"/>
      <c r="K7" s="101"/>
      <c r="L7" s="101"/>
      <c r="M7" s="101"/>
      <c r="N7" s="103"/>
    </row>
    <row r="8" spans="1:14" ht="17.25" customHeight="1" thickBot="1" x14ac:dyDescent="0.3">
      <c r="A8" s="25">
        <v>6</v>
      </c>
      <c r="B8" s="19" t="s">
        <v>91</v>
      </c>
      <c r="C8" s="21" t="s">
        <v>73</v>
      </c>
      <c r="D8" s="23">
        <f>1+1</f>
        <v>2</v>
      </c>
      <c r="E8" s="82" t="s">
        <v>74</v>
      </c>
      <c r="F8" s="83"/>
      <c r="G8" s="82"/>
      <c r="H8" s="82"/>
      <c r="I8" s="82"/>
      <c r="J8" s="82"/>
      <c r="K8" s="82"/>
      <c r="L8" s="82"/>
      <c r="M8" s="82"/>
      <c r="N8" s="84"/>
    </row>
    <row r="9" spans="1:14" ht="17.25" customHeight="1" thickBot="1" x14ac:dyDescent="0.3">
      <c r="A9" s="25">
        <v>7</v>
      </c>
      <c r="B9" s="17" t="s">
        <v>92</v>
      </c>
      <c r="C9" s="18" t="s">
        <v>75</v>
      </c>
      <c r="D9" s="22">
        <v>100</v>
      </c>
      <c r="E9" s="20">
        <v>25</v>
      </c>
      <c r="F9" s="23">
        <f>D9-E9</f>
        <v>75</v>
      </c>
      <c r="G9" s="82" t="s">
        <v>76</v>
      </c>
      <c r="H9" s="82"/>
      <c r="I9" s="82"/>
      <c r="J9" s="82"/>
      <c r="K9" s="82"/>
      <c r="L9" s="82"/>
      <c r="M9" s="82"/>
      <c r="N9" s="84"/>
    </row>
    <row r="10" spans="1:14" ht="17.25" customHeight="1" x14ac:dyDescent="0.25">
      <c r="A10" s="25">
        <v>8</v>
      </c>
      <c r="B10" s="94" t="s">
        <v>77</v>
      </c>
      <c r="C10" s="95"/>
      <c r="D10" s="95"/>
      <c r="E10" s="95"/>
      <c r="F10" s="97"/>
      <c r="G10" s="95"/>
      <c r="H10" s="95"/>
      <c r="I10" s="95"/>
      <c r="J10" s="95"/>
      <c r="K10" s="95"/>
      <c r="L10" s="95"/>
      <c r="M10" s="95"/>
      <c r="N10" s="96"/>
    </row>
    <row r="11" spans="1:14" ht="27.75" customHeight="1" x14ac:dyDescent="0.25">
      <c r="A11" s="25"/>
      <c r="B11" s="88" t="s">
        <v>88</v>
      </c>
      <c r="C11" s="89"/>
      <c r="D11" s="89"/>
      <c r="E11" s="89"/>
      <c r="F11" s="89"/>
      <c r="G11" s="89"/>
      <c r="H11" s="89"/>
      <c r="I11" s="89"/>
      <c r="J11" s="89"/>
      <c r="K11" s="89"/>
      <c r="L11" s="89"/>
      <c r="M11" s="89"/>
      <c r="N11" s="90"/>
    </row>
    <row r="12" spans="1:14" ht="17.25" customHeight="1" x14ac:dyDescent="0.25">
      <c r="A12" s="25"/>
      <c r="B12" s="76"/>
      <c r="C12" s="77"/>
      <c r="D12" s="77"/>
      <c r="E12" s="77"/>
      <c r="F12" s="77"/>
      <c r="G12" s="77"/>
      <c r="H12" s="77"/>
      <c r="I12" s="77"/>
      <c r="J12" s="77"/>
      <c r="K12" s="77"/>
      <c r="L12" s="77"/>
      <c r="M12" s="77"/>
      <c r="N12" s="78"/>
    </row>
    <row r="13" spans="1:14" ht="17.25" customHeight="1" x14ac:dyDescent="0.25">
      <c r="A13" s="25">
        <v>9</v>
      </c>
      <c r="B13" s="76" t="s">
        <v>78</v>
      </c>
      <c r="C13" s="77"/>
      <c r="D13" s="77"/>
      <c r="E13" s="77"/>
      <c r="F13" s="77"/>
      <c r="G13" s="77"/>
      <c r="H13" s="77"/>
      <c r="I13" s="77"/>
      <c r="J13" s="77"/>
      <c r="K13" s="77"/>
      <c r="L13" s="77"/>
      <c r="M13" s="77"/>
      <c r="N13" s="78"/>
    </row>
    <row r="14" spans="1:14" ht="17.25" customHeight="1" x14ac:dyDescent="0.25">
      <c r="A14" s="25">
        <v>10</v>
      </c>
      <c r="B14" s="76" t="s">
        <v>79</v>
      </c>
      <c r="C14" s="77"/>
      <c r="D14" s="77"/>
      <c r="E14" s="77"/>
      <c r="F14" s="77"/>
      <c r="G14" s="77"/>
      <c r="H14" s="77"/>
      <c r="I14" s="77"/>
      <c r="J14" s="77"/>
      <c r="K14" s="77"/>
      <c r="L14" s="77"/>
      <c r="M14" s="77"/>
      <c r="N14" s="78"/>
    </row>
    <row r="15" spans="1:14" ht="17.25" customHeight="1" x14ac:dyDescent="0.25">
      <c r="A15" s="25">
        <v>11</v>
      </c>
      <c r="B15" s="76" t="s">
        <v>80</v>
      </c>
      <c r="C15" s="77"/>
      <c r="D15" s="77"/>
      <c r="E15" s="77"/>
      <c r="F15" s="77"/>
      <c r="G15" s="77"/>
      <c r="H15" s="77"/>
      <c r="I15" s="77"/>
      <c r="J15" s="77"/>
      <c r="K15" s="77"/>
      <c r="L15" s="77"/>
      <c r="M15" s="77"/>
      <c r="N15" s="78"/>
    </row>
    <row r="16" spans="1:14" ht="47.25" customHeight="1" x14ac:dyDescent="0.25">
      <c r="A16" s="25">
        <v>12</v>
      </c>
      <c r="B16" s="76" t="s">
        <v>84</v>
      </c>
      <c r="C16" s="77"/>
      <c r="D16" s="77"/>
      <c r="E16" s="77"/>
      <c r="F16" s="77"/>
      <c r="G16" s="77"/>
      <c r="H16" s="77"/>
      <c r="I16" s="77"/>
      <c r="J16" s="77"/>
      <c r="K16" s="77"/>
      <c r="L16" s="77"/>
      <c r="M16" s="77"/>
      <c r="N16" s="78"/>
    </row>
    <row r="17" spans="1:14" ht="18" customHeight="1" x14ac:dyDescent="0.25">
      <c r="A17" s="25"/>
      <c r="B17" s="85"/>
      <c r="C17" s="86"/>
      <c r="D17" s="86"/>
      <c r="E17" s="86"/>
      <c r="F17" s="86"/>
      <c r="G17" s="86"/>
      <c r="H17" s="86"/>
      <c r="I17" s="86"/>
      <c r="J17" s="86"/>
      <c r="K17" s="86"/>
      <c r="L17" s="86"/>
      <c r="M17" s="86"/>
      <c r="N17" s="87"/>
    </row>
    <row r="18" spans="1:14" ht="17.25" customHeight="1" x14ac:dyDescent="0.25">
      <c r="A18" s="25">
        <v>13</v>
      </c>
      <c r="B18" s="91" t="s">
        <v>82</v>
      </c>
      <c r="C18" s="92"/>
      <c r="D18" s="92"/>
      <c r="E18" s="92"/>
      <c r="F18" s="92"/>
      <c r="G18" s="92"/>
      <c r="H18" s="92"/>
      <c r="I18" s="92"/>
      <c r="J18" s="92"/>
      <c r="K18" s="92"/>
      <c r="L18" s="92"/>
      <c r="M18" s="92"/>
      <c r="N18" s="93"/>
    </row>
    <row r="19" spans="1:14" ht="20.25" customHeight="1" x14ac:dyDescent="0.25">
      <c r="A19" s="25">
        <v>14</v>
      </c>
      <c r="B19" s="94" t="s">
        <v>81</v>
      </c>
      <c r="C19" s="95"/>
      <c r="D19" s="95"/>
      <c r="E19" s="95"/>
      <c r="F19" s="95"/>
      <c r="G19" s="95"/>
      <c r="H19" s="95"/>
      <c r="I19" s="95"/>
      <c r="J19" s="95"/>
      <c r="K19" s="95"/>
      <c r="L19" s="95"/>
      <c r="M19" s="95"/>
      <c r="N19" s="96"/>
    </row>
    <row r="20" spans="1:14" ht="17.25" customHeight="1" x14ac:dyDescent="0.25">
      <c r="A20" s="25">
        <v>15</v>
      </c>
      <c r="B20" s="76" t="s">
        <v>83</v>
      </c>
      <c r="C20" s="77"/>
      <c r="D20" s="77"/>
      <c r="E20" s="77"/>
      <c r="F20" s="77"/>
      <c r="G20" s="77"/>
      <c r="H20" s="77"/>
      <c r="I20" s="77"/>
      <c r="J20" s="77"/>
      <c r="K20" s="77"/>
      <c r="L20" s="77"/>
      <c r="M20" s="77"/>
      <c r="N20" s="78"/>
    </row>
    <row r="21" spans="1:14" ht="17.25" customHeight="1" x14ac:dyDescent="0.25">
      <c r="A21" s="25">
        <v>16</v>
      </c>
      <c r="B21" s="76" t="s">
        <v>86</v>
      </c>
      <c r="C21" s="77"/>
      <c r="D21" s="77"/>
      <c r="E21" s="77"/>
      <c r="F21" s="77"/>
      <c r="G21" s="77"/>
      <c r="H21" s="77"/>
      <c r="I21" s="77"/>
      <c r="J21" s="77"/>
      <c r="K21" s="77"/>
      <c r="L21" s="77"/>
      <c r="M21" s="77"/>
      <c r="N21" s="78"/>
    </row>
    <row r="22" spans="1:14" ht="17.25" customHeight="1" x14ac:dyDescent="0.25">
      <c r="A22" s="25">
        <v>17</v>
      </c>
      <c r="B22" s="76" t="s">
        <v>87</v>
      </c>
      <c r="C22" s="77"/>
      <c r="D22" s="77"/>
      <c r="E22" s="77"/>
      <c r="F22" s="77"/>
      <c r="G22" s="77"/>
      <c r="H22" s="77"/>
      <c r="I22" s="77"/>
      <c r="J22" s="77"/>
      <c r="K22" s="77"/>
      <c r="L22" s="77"/>
      <c r="M22" s="77"/>
      <c r="N22" s="78"/>
    </row>
    <row r="23" spans="1:14" ht="17.25" customHeight="1" x14ac:dyDescent="0.25">
      <c r="A23" s="25"/>
      <c r="B23" s="85"/>
      <c r="C23" s="86"/>
      <c r="D23" s="86"/>
      <c r="E23" s="86"/>
      <c r="F23" s="86"/>
      <c r="G23" s="86"/>
      <c r="H23" s="86"/>
      <c r="I23" s="86"/>
      <c r="J23" s="86"/>
      <c r="K23" s="86"/>
      <c r="L23" s="86"/>
      <c r="M23" s="86"/>
      <c r="N23" s="87"/>
    </row>
    <row r="24" spans="1:14" ht="17.25" customHeight="1" x14ac:dyDescent="0.25">
      <c r="A24" s="25">
        <v>18</v>
      </c>
      <c r="B24" s="76" t="s">
        <v>89</v>
      </c>
      <c r="C24" s="77"/>
      <c r="D24" s="77"/>
      <c r="E24" s="77"/>
      <c r="F24" s="77"/>
      <c r="G24" s="77"/>
      <c r="H24" s="77"/>
      <c r="I24" s="77"/>
      <c r="J24" s="77"/>
      <c r="K24" s="77"/>
      <c r="L24" s="77"/>
      <c r="M24" s="77"/>
      <c r="N24" s="78"/>
    </row>
    <row r="25" spans="1:14" ht="28.5" customHeight="1" x14ac:dyDescent="0.25">
      <c r="A25" s="25">
        <v>19</v>
      </c>
      <c r="B25" s="76" t="s">
        <v>95</v>
      </c>
      <c r="C25" s="77"/>
      <c r="D25" s="77"/>
      <c r="E25" s="77"/>
      <c r="F25" s="77"/>
      <c r="G25" s="77"/>
      <c r="H25" s="77"/>
      <c r="I25" s="77"/>
      <c r="J25" s="77"/>
      <c r="K25" s="77"/>
      <c r="L25" s="77"/>
      <c r="M25" s="77"/>
      <c r="N25" s="78"/>
    </row>
    <row r="26" spans="1:14" ht="63.75" customHeight="1" x14ac:dyDescent="0.25">
      <c r="A26" s="25">
        <v>20</v>
      </c>
      <c r="B26" s="76" t="s">
        <v>90</v>
      </c>
      <c r="C26" s="77"/>
      <c r="D26" s="77"/>
      <c r="E26" s="77"/>
      <c r="F26" s="77"/>
      <c r="G26" s="77"/>
      <c r="H26" s="77"/>
      <c r="I26" s="77"/>
      <c r="J26" s="77"/>
      <c r="K26" s="77"/>
      <c r="L26" s="77"/>
      <c r="M26" s="77"/>
      <c r="N26" s="78"/>
    </row>
    <row r="27" spans="1:14" ht="15.75" customHeight="1" x14ac:dyDescent="0.25">
      <c r="A27" s="25"/>
      <c r="B27" s="85"/>
      <c r="C27" s="86"/>
      <c r="D27" s="86"/>
      <c r="E27" s="86"/>
      <c r="F27" s="86"/>
      <c r="G27" s="86"/>
      <c r="H27" s="86"/>
      <c r="I27" s="86"/>
      <c r="J27" s="86"/>
      <c r="K27" s="86"/>
      <c r="L27" s="86"/>
      <c r="M27" s="86"/>
      <c r="N27" s="87"/>
    </row>
    <row r="28" spans="1:14" ht="17.25" customHeight="1" x14ac:dyDescent="0.25">
      <c r="A28" s="26">
        <v>21</v>
      </c>
      <c r="B28" s="76" t="s">
        <v>94</v>
      </c>
      <c r="C28" s="77"/>
      <c r="D28" s="77"/>
      <c r="E28" s="77"/>
      <c r="F28" s="77"/>
      <c r="G28" s="77"/>
      <c r="H28" s="77"/>
      <c r="I28" s="77"/>
      <c r="J28" s="77"/>
      <c r="K28" s="77"/>
      <c r="L28" s="77"/>
      <c r="M28" s="77"/>
      <c r="N28" s="78"/>
    </row>
    <row r="29" spans="1:14" ht="27.75" customHeight="1" x14ac:dyDescent="0.25">
      <c r="A29" s="25">
        <v>22</v>
      </c>
      <c r="B29" s="76" t="s">
        <v>93</v>
      </c>
      <c r="C29" s="77"/>
      <c r="D29" s="77"/>
      <c r="E29" s="77"/>
      <c r="F29" s="77"/>
      <c r="G29" s="77"/>
      <c r="H29" s="77"/>
      <c r="I29" s="77"/>
      <c r="J29" s="77"/>
      <c r="K29" s="77"/>
      <c r="L29" s="77"/>
      <c r="M29" s="77"/>
      <c r="N29" s="78"/>
    </row>
    <row r="30" spans="1:14" ht="15.75" customHeight="1" x14ac:dyDescent="0.25">
      <c r="A30" s="25"/>
      <c r="B30" s="85"/>
      <c r="C30" s="86"/>
      <c r="D30" s="86"/>
      <c r="E30" s="86"/>
      <c r="F30" s="86"/>
      <c r="G30" s="86"/>
      <c r="H30" s="86"/>
      <c r="I30" s="86"/>
      <c r="J30" s="86"/>
      <c r="K30" s="86"/>
      <c r="L30" s="86"/>
      <c r="M30" s="86"/>
      <c r="N30" s="87"/>
    </row>
    <row r="31" spans="1:14" ht="28.5" customHeight="1" x14ac:dyDescent="0.25">
      <c r="A31" s="25">
        <v>23</v>
      </c>
      <c r="B31" s="76" t="s">
        <v>97</v>
      </c>
      <c r="C31" s="77"/>
      <c r="D31" s="77"/>
      <c r="E31" s="77"/>
      <c r="F31" s="77"/>
      <c r="G31" s="77"/>
      <c r="H31" s="77"/>
      <c r="I31" s="77"/>
      <c r="J31" s="77"/>
      <c r="K31" s="77"/>
      <c r="L31" s="77"/>
      <c r="M31" s="77"/>
      <c r="N31" s="78"/>
    </row>
    <row r="32" spans="1:14" ht="17.25" customHeight="1" x14ac:dyDescent="0.25">
      <c r="A32" s="25">
        <v>24</v>
      </c>
      <c r="B32" s="76" t="s">
        <v>98</v>
      </c>
      <c r="C32" s="77"/>
      <c r="D32" s="77"/>
      <c r="E32" s="77"/>
      <c r="F32" s="77"/>
      <c r="G32" s="77"/>
      <c r="H32" s="77"/>
      <c r="I32" s="77"/>
      <c r="J32" s="77"/>
      <c r="K32" s="77"/>
      <c r="L32" s="77"/>
      <c r="M32" s="77"/>
      <c r="N32" s="78"/>
    </row>
    <row r="33" spans="1:14" ht="17.25" customHeight="1" x14ac:dyDescent="0.25">
      <c r="A33" s="25"/>
      <c r="B33" s="85"/>
      <c r="C33" s="86"/>
      <c r="D33" s="86"/>
      <c r="E33" s="86"/>
      <c r="F33" s="86"/>
      <c r="G33" s="86"/>
      <c r="H33" s="86"/>
      <c r="I33" s="86"/>
      <c r="J33" s="86"/>
      <c r="K33" s="86"/>
      <c r="L33" s="86"/>
      <c r="M33" s="86"/>
      <c r="N33" s="87"/>
    </row>
    <row r="34" spans="1:14" ht="17.25" customHeight="1" x14ac:dyDescent="0.25">
      <c r="A34" s="25">
        <v>25</v>
      </c>
      <c r="B34" s="100" t="s">
        <v>99</v>
      </c>
      <c r="C34" s="77"/>
      <c r="D34" s="77"/>
      <c r="E34" s="77"/>
      <c r="F34" s="77"/>
      <c r="G34" s="77"/>
      <c r="H34" s="77"/>
      <c r="I34" s="77"/>
      <c r="J34" s="77"/>
      <c r="K34" s="77"/>
      <c r="L34" s="77"/>
      <c r="M34" s="77"/>
      <c r="N34" s="78"/>
    </row>
    <row r="35" spans="1:14" ht="17.25" customHeight="1" x14ac:dyDescent="0.25">
      <c r="A35" s="25">
        <v>26</v>
      </c>
      <c r="B35" s="76" t="s">
        <v>100</v>
      </c>
      <c r="C35" s="77"/>
      <c r="D35" s="77"/>
      <c r="E35" s="77"/>
      <c r="F35" s="77"/>
      <c r="G35" s="77"/>
      <c r="H35" s="77"/>
      <c r="I35" s="77"/>
      <c r="J35" s="77"/>
      <c r="K35" s="77"/>
      <c r="L35" s="77"/>
      <c r="M35" s="77"/>
      <c r="N35" s="78"/>
    </row>
    <row r="36" spans="1:14" ht="45.75" customHeight="1" x14ac:dyDescent="0.25">
      <c r="A36" s="25">
        <v>27</v>
      </c>
      <c r="B36" s="76" t="s">
        <v>101</v>
      </c>
      <c r="C36" s="77"/>
      <c r="D36" s="77"/>
      <c r="E36" s="77"/>
      <c r="F36" s="77"/>
      <c r="G36" s="77"/>
      <c r="H36" s="77"/>
      <c r="I36" s="77"/>
      <c r="J36" s="77"/>
      <c r="K36" s="77"/>
      <c r="L36" s="77"/>
      <c r="M36" s="77"/>
      <c r="N36" s="78"/>
    </row>
    <row r="37" spans="1:14" ht="17.25" customHeight="1" x14ac:dyDescent="0.25">
      <c r="A37" s="25">
        <v>28</v>
      </c>
      <c r="B37" s="76" t="s">
        <v>102</v>
      </c>
      <c r="C37" s="77"/>
      <c r="D37" s="77"/>
      <c r="E37" s="77"/>
      <c r="F37" s="77"/>
      <c r="G37" s="77"/>
      <c r="H37" s="77"/>
      <c r="I37" s="77"/>
      <c r="J37" s="77"/>
      <c r="K37" s="77"/>
      <c r="L37" s="77"/>
      <c r="M37" s="77"/>
      <c r="N37" s="78"/>
    </row>
    <row r="38" spans="1:14" ht="42.75" customHeight="1" x14ac:dyDescent="0.25">
      <c r="A38" s="25">
        <v>29</v>
      </c>
      <c r="B38" s="94" t="s">
        <v>103</v>
      </c>
      <c r="C38" s="95"/>
      <c r="D38" s="95"/>
      <c r="E38" s="95"/>
      <c r="F38" s="95"/>
      <c r="G38" s="95"/>
      <c r="H38" s="95"/>
      <c r="I38" s="95"/>
      <c r="J38" s="95"/>
      <c r="K38" s="95"/>
      <c r="L38" s="95"/>
      <c r="M38" s="95"/>
      <c r="N38" s="96"/>
    </row>
    <row r="39" spans="1:14" ht="78" customHeight="1" x14ac:dyDescent="0.25">
      <c r="A39" s="25">
        <v>30</v>
      </c>
      <c r="B39" s="76" t="s">
        <v>104</v>
      </c>
      <c r="C39" s="77"/>
      <c r="D39" s="77"/>
      <c r="E39" s="77"/>
      <c r="F39" s="77"/>
      <c r="G39" s="77"/>
      <c r="H39" s="77"/>
      <c r="I39" s="77"/>
      <c r="J39" s="77"/>
      <c r="K39" s="77"/>
      <c r="L39" s="77"/>
      <c r="M39" s="77"/>
      <c r="N39" s="78"/>
    </row>
    <row r="40" spans="1:14" ht="17.25" customHeight="1" x14ac:dyDescent="0.25">
      <c r="A40" s="25"/>
      <c r="B40" s="85"/>
      <c r="C40" s="86"/>
      <c r="D40" s="86"/>
      <c r="E40" s="86"/>
      <c r="F40" s="86"/>
      <c r="G40" s="86"/>
      <c r="H40" s="86"/>
      <c r="I40" s="86"/>
      <c r="J40" s="86"/>
      <c r="K40" s="86"/>
      <c r="L40" s="86"/>
      <c r="M40" s="86"/>
      <c r="N40" s="87"/>
    </row>
    <row r="41" spans="1:14" ht="29.25" customHeight="1" x14ac:dyDescent="0.25">
      <c r="A41" s="25">
        <v>31</v>
      </c>
      <c r="B41" s="98" t="s">
        <v>116</v>
      </c>
      <c r="C41" s="82"/>
      <c r="D41" s="82"/>
      <c r="E41" s="82"/>
      <c r="F41" s="82"/>
      <c r="G41" s="82"/>
      <c r="H41" s="82"/>
      <c r="I41" s="82"/>
      <c r="J41" s="82"/>
      <c r="K41" s="82"/>
      <c r="L41" s="82"/>
      <c r="M41" s="82"/>
      <c r="N41" s="84"/>
    </row>
    <row r="42" spans="1:14" ht="28.5" customHeight="1" x14ac:dyDescent="0.25">
      <c r="A42" s="25">
        <v>32</v>
      </c>
      <c r="B42" s="98" t="s">
        <v>117</v>
      </c>
      <c r="C42" s="82"/>
      <c r="D42" s="82"/>
      <c r="E42" s="82"/>
      <c r="F42" s="82"/>
      <c r="G42" s="82"/>
      <c r="H42" s="82"/>
      <c r="I42" s="82"/>
      <c r="J42" s="82"/>
      <c r="K42" s="82"/>
      <c r="L42" s="82"/>
      <c r="M42" s="82"/>
      <c r="N42" s="84"/>
    </row>
    <row r="43" spans="1:14" ht="17.25" customHeight="1" x14ac:dyDescent="0.25">
      <c r="A43" s="25">
        <v>33</v>
      </c>
      <c r="B43" s="99" t="s">
        <v>162</v>
      </c>
      <c r="C43" s="77"/>
      <c r="D43" s="77"/>
      <c r="E43" s="77"/>
      <c r="F43" s="77"/>
      <c r="G43" s="77"/>
      <c r="H43" s="77"/>
      <c r="I43" s="77"/>
      <c r="J43" s="77"/>
      <c r="K43" s="77"/>
      <c r="L43" s="77"/>
      <c r="M43" s="77"/>
      <c r="N43" s="78"/>
    </row>
    <row r="44" spans="1:14" ht="29.25" customHeight="1" x14ac:dyDescent="0.25">
      <c r="A44" s="25">
        <v>34</v>
      </c>
      <c r="B44" s="76" t="s">
        <v>195</v>
      </c>
      <c r="C44" s="77"/>
      <c r="D44" s="77"/>
      <c r="E44" s="77"/>
      <c r="F44" s="77"/>
      <c r="G44" s="77"/>
      <c r="H44" s="77"/>
      <c r="I44" s="77"/>
      <c r="J44" s="77"/>
      <c r="K44" s="77"/>
      <c r="L44" s="77"/>
      <c r="M44" s="77"/>
      <c r="N44" s="78"/>
    </row>
    <row r="45" spans="1:14" ht="17.25" customHeight="1" x14ac:dyDescent="0.25">
      <c r="A45" s="25">
        <v>35</v>
      </c>
      <c r="B45" s="76" t="s">
        <v>199</v>
      </c>
      <c r="C45" s="77"/>
      <c r="D45" s="77"/>
      <c r="E45" s="77"/>
      <c r="F45" s="77"/>
      <c r="G45" s="77"/>
      <c r="H45" s="77"/>
      <c r="I45" s="77"/>
      <c r="J45" s="77"/>
      <c r="K45" s="77"/>
      <c r="L45" s="77"/>
      <c r="M45" s="77"/>
      <c r="N45" s="78"/>
    </row>
    <row r="46" spans="1:14" ht="17.25" customHeight="1" x14ac:dyDescent="0.25">
      <c r="A46" s="25">
        <v>36</v>
      </c>
      <c r="B46" s="76"/>
      <c r="C46" s="77"/>
      <c r="D46" s="77"/>
      <c r="E46" s="77"/>
      <c r="F46" s="77"/>
      <c r="G46" s="77"/>
      <c r="H46" s="77"/>
      <c r="I46" s="77"/>
      <c r="J46" s="77"/>
      <c r="K46" s="77"/>
      <c r="L46" s="77"/>
      <c r="M46" s="77"/>
      <c r="N46" s="78"/>
    </row>
    <row r="47" spans="1:14" ht="17.25" customHeight="1" x14ac:dyDescent="0.25">
      <c r="A47" s="25">
        <v>37</v>
      </c>
      <c r="B47" s="76"/>
      <c r="C47" s="77"/>
      <c r="D47" s="77"/>
      <c r="E47" s="77"/>
      <c r="F47" s="77"/>
      <c r="G47" s="77"/>
      <c r="H47" s="77"/>
      <c r="I47" s="77"/>
      <c r="J47" s="77"/>
      <c r="K47" s="77"/>
      <c r="L47" s="77"/>
      <c r="M47" s="77"/>
      <c r="N47" s="78"/>
    </row>
    <row r="48" spans="1:14" ht="17.25" customHeight="1" x14ac:dyDescent="0.25">
      <c r="A48" s="25">
        <v>38</v>
      </c>
      <c r="B48" s="76"/>
      <c r="C48" s="77"/>
      <c r="D48" s="77"/>
      <c r="E48" s="77"/>
      <c r="F48" s="77"/>
      <c r="G48" s="77"/>
      <c r="H48" s="77"/>
      <c r="I48" s="77"/>
      <c r="J48" s="77"/>
      <c r="K48" s="77"/>
      <c r="L48" s="77"/>
      <c r="M48" s="77"/>
      <c r="N48" s="78"/>
    </row>
    <row r="49" spans="1:14" ht="17.25" customHeight="1" x14ac:dyDescent="0.25">
      <c r="A49" s="25">
        <v>39</v>
      </c>
      <c r="B49" s="76"/>
      <c r="C49" s="77"/>
      <c r="D49" s="77"/>
      <c r="E49" s="77"/>
      <c r="F49" s="77"/>
      <c r="G49" s="77"/>
      <c r="H49" s="77"/>
      <c r="I49" s="77"/>
      <c r="J49" s="77"/>
      <c r="K49" s="77"/>
      <c r="L49" s="77"/>
      <c r="M49" s="77"/>
      <c r="N49" s="78"/>
    </row>
    <row r="50" spans="1:14" ht="17.25" customHeight="1" x14ac:dyDescent="0.25">
      <c r="A50" s="25">
        <v>40</v>
      </c>
      <c r="B50" s="76"/>
      <c r="C50" s="77"/>
      <c r="D50" s="77"/>
      <c r="E50" s="77"/>
      <c r="F50" s="77"/>
      <c r="G50" s="77"/>
      <c r="H50" s="77"/>
      <c r="I50" s="77"/>
      <c r="J50" s="77"/>
      <c r="K50" s="77"/>
      <c r="L50" s="77"/>
      <c r="M50" s="77"/>
      <c r="N50" s="78"/>
    </row>
    <row r="51" spans="1:14" ht="17.25" customHeight="1" x14ac:dyDescent="0.25">
      <c r="A51" s="25">
        <v>41</v>
      </c>
      <c r="B51" s="76" t="s">
        <v>96</v>
      </c>
      <c r="C51" s="77"/>
      <c r="D51" s="77"/>
      <c r="E51" s="77"/>
      <c r="F51" s="77"/>
      <c r="G51" s="77"/>
      <c r="H51" s="77"/>
      <c r="I51" s="77"/>
      <c r="J51" s="77"/>
      <c r="K51" s="77"/>
      <c r="L51" s="77"/>
      <c r="M51" s="77"/>
      <c r="N51" s="78"/>
    </row>
    <row r="52" spans="1:14" ht="17.25" customHeight="1" x14ac:dyDescent="0.25">
      <c r="A52" s="25">
        <v>42</v>
      </c>
      <c r="B52" s="76"/>
      <c r="C52" s="77"/>
      <c r="D52" s="77"/>
      <c r="E52" s="77"/>
      <c r="F52" s="77"/>
      <c r="G52" s="77"/>
      <c r="H52" s="77"/>
      <c r="I52" s="77"/>
      <c r="J52" s="77"/>
      <c r="K52" s="77"/>
      <c r="L52" s="77"/>
      <c r="M52" s="77"/>
      <c r="N52" s="78"/>
    </row>
    <row r="53" spans="1:14" ht="17.25" customHeight="1" x14ac:dyDescent="0.25">
      <c r="A53" s="25">
        <v>43</v>
      </c>
      <c r="B53" s="76"/>
      <c r="C53" s="77"/>
      <c r="D53" s="77"/>
      <c r="E53" s="77"/>
      <c r="F53" s="77"/>
      <c r="G53" s="77"/>
      <c r="H53" s="77"/>
      <c r="I53" s="77"/>
      <c r="J53" s="77"/>
      <c r="K53" s="77"/>
      <c r="L53" s="77"/>
      <c r="M53" s="77"/>
      <c r="N53" s="78"/>
    </row>
    <row r="54" spans="1:14" ht="17.25" customHeight="1" x14ac:dyDescent="0.25">
      <c r="A54" s="25">
        <v>44</v>
      </c>
      <c r="B54" s="76"/>
      <c r="C54" s="77"/>
      <c r="D54" s="77"/>
      <c r="E54" s="77"/>
      <c r="F54" s="77"/>
      <c r="G54" s="77"/>
      <c r="H54" s="77"/>
      <c r="I54" s="77"/>
      <c r="J54" s="77"/>
      <c r="K54" s="77"/>
      <c r="L54" s="77"/>
      <c r="M54" s="77"/>
      <c r="N54" s="78"/>
    </row>
    <row r="55" spans="1:14" ht="17.25" customHeight="1" x14ac:dyDescent="0.25">
      <c r="A55" s="25">
        <v>45</v>
      </c>
      <c r="B55" s="76"/>
      <c r="C55" s="77"/>
      <c r="D55" s="77"/>
      <c r="E55" s="77"/>
      <c r="F55" s="77"/>
      <c r="G55" s="77"/>
      <c r="H55" s="77"/>
      <c r="I55" s="77"/>
      <c r="J55" s="77"/>
      <c r="K55" s="77"/>
      <c r="L55" s="77"/>
      <c r="M55" s="77"/>
      <c r="N55" s="78"/>
    </row>
    <row r="56" spans="1:14" ht="17.25" customHeight="1" x14ac:dyDescent="0.25">
      <c r="A56" s="25">
        <v>46</v>
      </c>
      <c r="B56" s="76"/>
      <c r="C56" s="77"/>
      <c r="D56" s="77"/>
      <c r="E56" s="77"/>
      <c r="F56" s="77"/>
      <c r="G56" s="77"/>
      <c r="H56" s="77"/>
      <c r="I56" s="77"/>
      <c r="J56" s="77"/>
      <c r="K56" s="77"/>
      <c r="L56" s="77"/>
      <c r="M56" s="77"/>
      <c r="N56" s="78"/>
    </row>
    <row r="57" spans="1:14" ht="17.25" customHeight="1" x14ac:dyDescent="0.25">
      <c r="A57" s="25">
        <v>47</v>
      </c>
      <c r="B57" s="76"/>
      <c r="C57" s="77"/>
      <c r="D57" s="77"/>
      <c r="E57" s="77"/>
      <c r="F57" s="77"/>
      <c r="G57" s="77"/>
      <c r="H57" s="77"/>
      <c r="I57" s="77"/>
      <c r="J57" s="77"/>
      <c r="K57" s="77"/>
      <c r="L57" s="77"/>
      <c r="M57" s="77"/>
      <c r="N57" s="78"/>
    </row>
    <row r="58" spans="1:14" ht="17.25" customHeight="1" x14ac:dyDescent="0.25">
      <c r="A58" s="25">
        <v>48</v>
      </c>
      <c r="B58" s="76"/>
      <c r="C58" s="77"/>
      <c r="D58" s="77"/>
      <c r="E58" s="77"/>
      <c r="F58" s="77"/>
      <c r="G58" s="77"/>
      <c r="H58" s="77"/>
      <c r="I58" s="77"/>
      <c r="J58" s="77"/>
      <c r="K58" s="77"/>
      <c r="L58" s="77"/>
      <c r="M58" s="77"/>
      <c r="N58" s="78"/>
    </row>
    <row r="59" spans="1:14" ht="17.25" customHeight="1" x14ac:dyDescent="0.25">
      <c r="A59" s="25">
        <v>49</v>
      </c>
      <c r="B59" s="76"/>
      <c r="C59" s="77"/>
      <c r="D59" s="77"/>
      <c r="E59" s="77"/>
      <c r="F59" s="77"/>
      <c r="G59" s="77"/>
      <c r="H59" s="77"/>
      <c r="I59" s="77"/>
      <c r="J59" s="77"/>
      <c r="K59" s="77"/>
      <c r="L59" s="77"/>
      <c r="M59" s="77"/>
      <c r="N59" s="78"/>
    </row>
    <row r="60" spans="1:14" ht="17.25" customHeight="1" x14ac:dyDescent="0.25">
      <c r="A60" s="25">
        <v>50</v>
      </c>
      <c r="B60" s="76"/>
      <c r="C60" s="77"/>
      <c r="D60" s="77"/>
      <c r="E60" s="77"/>
      <c r="F60" s="77"/>
      <c r="G60" s="77"/>
      <c r="H60" s="77"/>
      <c r="I60" s="77"/>
      <c r="J60" s="77"/>
      <c r="K60" s="77"/>
      <c r="L60" s="77"/>
      <c r="M60" s="77"/>
      <c r="N60" s="78"/>
    </row>
    <row r="61" spans="1:14" ht="17.25" customHeight="1" x14ac:dyDescent="0.25">
      <c r="A61" s="25">
        <v>51</v>
      </c>
      <c r="B61" s="76"/>
      <c r="C61" s="77"/>
      <c r="D61" s="77"/>
      <c r="E61" s="77"/>
      <c r="F61" s="77"/>
      <c r="G61" s="77"/>
      <c r="H61" s="77"/>
      <c r="I61" s="77"/>
      <c r="J61" s="77"/>
      <c r="K61" s="77"/>
      <c r="L61" s="77"/>
      <c r="M61" s="77"/>
      <c r="N61" s="78"/>
    </row>
    <row r="62" spans="1:14" ht="17.25" customHeight="1" x14ac:dyDescent="0.25">
      <c r="A62" s="25">
        <v>52</v>
      </c>
      <c r="B62" s="76"/>
      <c r="C62" s="77"/>
      <c r="D62" s="77"/>
      <c r="E62" s="77"/>
      <c r="F62" s="77"/>
      <c r="G62" s="77"/>
      <c r="H62" s="77"/>
      <c r="I62" s="77"/>
      <c r="J62" s="77"/>
      <c r="K62" s="77"/>
      <c r="L62" s="77"/>
      <c r="M62" s="77"/>
      <c r="N62" s="78"/>
    </row>
    <row r="63" spans="1:14" ht="17.25" customHeight="1" x14ac:dyDescent="0.25">
      <c r="A63" s="25">
        <v>53</v>
      </c>
      <c r="B63" s="76"/>
      <c r="C63" s="77"/>
      <c r="D63" s="77"/>
      <c r="E63" s="77"/>
      <c r="F63" s="77"/>
      <c r="G63" s="77"/>
      <c r="H63" s="77"/>
      <c r="I63" s="77"/>
      <c r="J63" s="77"/>
      <c r="K63" s="77"/>
      <c r="L63" s="77"/>
      <c r="M63" s="77"/>
      <c r="N63" s="78"/>
    </row>
    <row r="64" spans="1:14" ht="17.25" customHeight="1" x14ac:dyDescent="0.25">
      <c r="A64" s="25">
        <v>54</v>
      </c>
      <c r="B64" s="76"/>
      <c r="C64" s="77"/>
      <c r="D64" s="77"/>
      <c r="E64" s="77"/>
      <c r="F64" s="77"/>
      <c r="G64" s="77"/>
      <c r="H64" s="77"/>
      <c r="I64" s="77"/>
      <c r="J64" s="77"/>
      <c r="K64" s="77"/>
      <c r="L64" s="77"/>
      <c r="M64" s="77"/>
      <c r="N64" s="78"/>
    </row>
    <row r="65" spans="1:14" ht="17.25" customHeight="1" x14ac:dyDescent="0.25">
      <c r="A65" s="25">
        <v>55</v>
      </c>
      <c r="B65" s="76"/>
      <c r="C65" s="77"/>
      <c r="D65" s="77"/>
      <c r="E65" s="77"/>
      <c r="F65" s="77"/>
      <c r="G65" s="77"/>
      <c r="H65" s="77"/>
      <c r="I65" s="77"/>
      <c r="J65" s="77"/>
      <c r="K65" s="77"/>
      <c r="L65" s="77"/>
      <c r="M65" s="77"/>
      <c r="N65" s="78"/>
    </row>
    <row r="66" spans="1:14" ht="17.25" customHeight="1" x14ac:dyDescent="0.25">
      <c r="A66" s="25">
        <v>56</v>
      </c>
      <c r="B66" s="76"/>
      <c r="C66" s="77"/>
      <c r="D66" s="77"/>
      <c r="E66" s="77"/>
      <c r="F66" s="77"/>
      <c r="G66" s="77"/>
      <c r="H66" s="77"/>
      <c r="I66" s="77"/>
      <c r="J66" s="77"/>
      <c r="K66" s="77"/>
      <c r="L66" s="77"/>
      <c r="M66" s="77"/>
      <c r="N66" s="78"/>
    </row>
    <row r="67" spans="1:14" ht="17.25" customHeight="1" x14ac:dyDescent="0.25">
      <c r="A67" s="25">
        <v>57</v>
      </c>
      <c r="B67" s="76"/>
      <c r="C67" s="77"/>
      <c r="D67" s="77"/>
      <c r="E67" s="77"/>
      <c r="F67" s="77"/>
      <c r="G67" s="77"/>
      <c r="H67" s="77"/>
      <c r="I67" s="77"/>
      <c r="J67" s="77"/>
      <c r="K67" s="77"/>
      <c r="L67" s="77"/>
      <c r="M67" s="77"/>
      <c r="N67" s="78"/>
    </row>
    <row r="68" spans="1:14" ht="17.25" customHeight="1" x14ac:dyDescent="0.25">
      <c r="A68" s="25">
        <v>58</v>
      </c>
      <c r="B68" s="76"/>
      <c r="C68" s="77"/>
      <c r="D68" s="77"/>
      <c r="E68" s="77"/>
      <c r="F68" s="77"/>
      <c r="G68" s="77"/>
      <c r="H68" s="77"/>
      <c r="I68" s="77"/>
      <c r="J68" s="77"/>
      <c r="K68" s="77"/>
      <c r="L68" s="77"/>
      <c r="M68" s="77"/>
      <c r="N68" s="78"/>
    </row>
    <row r="69" spans="1:14" ht="17.25" customHeight="1" x14ac:dyDescent="0.25">
      <c r="A69" s="25">
        <v>59</v>
      </c>
      <c r="B69" s="76"/>
      <c r="C69" s="77"/>
      <c r="D69" s="77"/>
      <c r="E69" s="77"/>
      <c r="F69" s="77"/>
      <c r="G69" s="77"/>
      <c r="H69" s="77"/>
      <c r="I69" s="77"/>
      <c r="J69" s="77"/>
      <c r="K69" s="77"/>
      <c r="L69" s="77"/>
      <c r="M69" s="77"/>
      <c r="N69" s="78"/>
    </row>
    <row r="70" spans="1:14" ht="17.25" customHeight="1" thickBot="1" x14ac:dyDescent="0.3">
      <c r="A70" s="25">
        <v>60</v>
      </c>
      <c r="B70" s="79"/>
      <c r="C70" s="80"/>
      <c r="D70" s="80"/>
      <c r="E70" s="80"/>
      <c r="F70" s="80"/>
      <c r="G70" s="80"/>
      <c r="H70" s="80"/>
      <c r="I70" s="80"/>
      <c r="J70" s="80"/>
      <c r="K70" s="80"/>
      <c r="L70" s="80"/>
      <c r="M70" s="80"/>
      <c r="N70" s="81"/>
    </row>
  </sheetData>
  <autoFilter ref="A31:N70"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70">
    <mergeCell ref="A1:C1"/>
    <mergeCell ref="B2:N2"/>
    <mergeCell ref="B3:N3"/>
    <mergeCell ref="B4:N4"/>
    <mergeCell ref="B5:N5"/>
    <mergeCell ref="B37:N37"/>
    <mergeCell ref="B22:N22"/>
    <mergeCell ref="B24:N24"/>
    <mergeCell ref="B26:N26"/>
    <mergeCell ref="B28:N28"/>
    <mergeCell ref="B29:N29"/>
    <mergeCell ref="B31:N31"/>
    <mergeCell ref="B32:N32"/>
    <mergeCell ref="B34:N34"/>
    <mergeCell ref="B35:N35"/>
    <mergeCell ref="B36:N36"/>
    <mergeCell ref="B30:N30"/>
    <mergeCell ref="B33:N33"/>
    <mergeCell ref="B50:N50"/>
    <mergeCell ref="B38:N38"/>
    <mergeCell ref="B39:N39"/>
    <mergeCell ref="B41:N41"/>
    <mergeCell ref="B42:N42"/>
    <mergeCell ref="B43:N43"/>
    <mergeCell ref="B44:N44"/>
    <mergeCell ref="B45:N45"/>
    <mergeCell ref="B46:N46"/>
    <mergeCell ref="B47:N47"/>
    <mergeCell ref="B48:N48"/>
    <mergeCell ref="B49:N49"/>
    <mergeCell ref="B61:N61"/>
    <mergeCell ref="B62:N62"/>
    <mergeCell ref="B51:N51"/>
    <mergeCell ref="B52:N52"/>
    <mergeCell ref="B53:N53"/>
    <mergeCell ref="B54:N54"/>
    <mergeCell ref="B55:N55"/>
    <mergeCell ref="B56:N56"/>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7:N7"/>
    <mergeCell ref="B69:N69"/>
    <mergeCell ref="B70:N70"/>
    <mergeCell ref="E8:N8"/>
    <mergeCell ref="G9:N9"/>
    <mergeCell ref="B27:N27"/>
    <mergeCell ref="B63:N63"/>
    <mergeCell ref="B64:N64"/>
    <mergeCell ref="B65:N65"/>
    <mergeCell ref="B66:N66"/>
    <mergeCell ref="B67:N67"/>
    <mergeCell ref="B68:N68"/>
    <mergeCell ref="B57:N57"/>
    <mergeCell ref="B58:N58"/>
    <mergeCell ref="B59:N59"/>
    <mergeCell ref="B40:N40"/>
    <mergeCell ref="B60:N60"/>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sheetPr>
    <tabColor theme="9" tint="0.79998168889431442"/>
  </sheetPr>
  <dimension ref="A1:V56"/>
  <sheetViews>
    <sheetView showGridLines="0" workbookViewId="0">
      <pane ySplit="1" topLeftCell="A2" activePane="bottomLeft" state="frozen"/>
      <selection pane="bottomLeft" activeCell="I27" sqref="I27"/>
    </sheetView>
  </sheetViews>
  <sheetFormatPr defaultRowHeight="15" x14ac:dyDescent="0.25"/>
  <cols>
    <col min="1" max="1" width="13" style="14" customWidth="1"/>
    <col min="2" max="5" width="11" customWidth="1"/>
    <col min="6" max="6" width="11.42578125" bestFit="1" customWidth="1"/>
    <col min="7" max="7" width="11" customWidth="1"/>
    <col min="9" max="9" width="20.85546875" customWidth="1"/>
    <col min="10" max="10" width="28.140625" customWidth="1"/>
  </cols>
  <sheetData>
    <row r="1" spans="1:22" ht="15.75" thickBot="1" x14ac:dyDescent="0.3">
      <c r="A1" s="39" t="s">
        <v>36</v>
      </c>
      <c r="B1" s="40" t="s">
        <v>37</v>
      </c>
      <c r="C1" s="40" t="s">
        <v>38</v>
      </c>
      <c r="D1" s="40" t="s">
        <v>39</v>
      </c>
      <c r="E1" s="40" t="s">
        <v>40</v>
      </c>
      <c r="F1" s="40" t="s">
        <v>41</v>
      </c>
      <c r="G1" s="41" t="s">
        <v>34</v>
      </c>
      <c r="H1" s="10"/>
      <c r="I1" s="110" t="s">
        <v>64</v>
      </c>
      <c r="J1" s="111"/>
      <c r="K1" s="111"/>
      <c r="L1" s="111"/>
      <c r="M1" s="111"/>
      <c r="N1" s="111"/>
      <c r="O1" s="111"/>
      <c r="P1" s="111"/>
      <c r="Q1" s="111"/>
      <c r="R1" s="111"/>
      <c r="S1" s="111"/>
      <c r="T1" s="111"/>
      <c r="U1" s="111"/>
      <c r="V1" s="112"/>
    </row>
    <row r="2" spans="1:22" s="10" customFormat="1" x14ac:dyDescent="0.25">
      <c r="A2" s="38">
        <v>44219</v>
      </c>
      <c r="B2" s="27" t="s">
        <v>42</v>
      </c>
      <c r="C2" s="27" t="s">
        <v>43</v>
      </c>
      <c r="D2" s="27" t="s">
        <v>44</v>
      </c>
      <c r="E2" s="27">
        <v>10</v>
      </c>
      <c r="F2" s="27">
        <v>19.989999999999998</v>
      </c>
      <c r="G2" s="28">
        <f t="shared" ref="G2:G44" si="0">E2*F2</f>
        <v>199.89999999999998</v>
      </c>
      <c r="I2" s="12" t="s">
        <v>61</v>
      </c>
      <c r="J2" t="s">
        <v>63</v>
      </c>
      <c r="K2"/>
    </row>
    <row r="3" spans="1:22" x14ac:dyDescent="0.25">
      <c r="A3" s="29">
        <v>44236</v>
      </c>
      <c r="B3" s="30" t="s">
        <v>42</v>
      </c>
      <c r="C3" s="30" t="s">
        <v>45</v>
      </c>
      <c r="D3" s="30" t="s">
        <v>46</v>
      </c>
      <c r="E3" s="30">
        <v>40</v>
      </c>
      <c r="F3" s="30">
        <v>4.99</v>
      </c>
      <c r="G3" s="31">
        <f t="shared" si="0"/>
        <v>199.60000000000002</v>
      </c>
      <c r="I3" s="13" t="s">
        <v>42</v>
      </c>
      <c r="J3">
        <v>10909.43</v>
      </c>
    </row>
    <row r="4" spans="1:22" x14ac:dyDescent="0.25">
      <c r="A4" s="32">
        <v>44253</v>
      </c>
      <c r="B4" s="33" t="s">
        <v>42</v>
      </c>
      <c r="C4" s="33" t="s">
        <v>47</v>
      </c>
      <c r="D4" s="33" t="s">
        <v>48</v>
      </c>
      <c r="E4" s="33">
        <v>27</v>
      </c>
      <c r="F4" s="33">
        <v>19.989999999999998</v>
      </c>
      <c r="G4" s="34">
        <f t="shared" si="0"/>
        <v>539.7299999999999</v>
      </c>
      <c r="I4" s="15" t="s">
        <v>49</v>
      </c>
      <c r="J4">
        <v>438.37</v>
      </c>
    </row>
    <row r="5" spans="1:22" x14ac:dyDescent="0.25">
      <c r="A5" s="29">
        <v>44304</v>
      </c>
      <c r="B5" s="30" t="s">
        <v>42</v>
      </c>
      <c r="C5" s="30" t="s">
        <v>49</v>
      </c>
      <c r="D5" s="30" t="s">
        <v>46</v>
      </c>
      <c r="E5" s="30">
        <v>75</v>
      </c>
      <c r="F5" s="30">
        <v>1.99</v>
      </c>
      <c r="G5" s="31">
        <f t="shared" si="0"/>
        <v>149.25</v>
      </c>
      <c r="I5" s="15" t="s">
        <v>47</v>
      </c>
      <c r="J5">
        <v>1749.8700000000001</v>
      </c>
    </row>
    <row r="6" spans="1:22" x14ac:dyDescent="0.25">
      <c r="A6" s="32">
        <v>44321</v>
      </c>
      <c r="B6" s="33" t="s">
        <v>42</v>
      </c>
      <c r="C6" s="33" t="s">
        <v>45</v>
      </c>
      <c r="D6" s="33" t="s">
        <v>46</v>
      </c>
      <c r="E6" s="33">
        <v>90</v>
      </c>
      <c r="F6" s="33">
        <v>4.99</v>
      </c>
      <c r="G6" s="34">
        <f t="shared" si="0"/>
        <v>449.1</v>
      </c>
      <c r="I6" s="15" t="s">
        <v>45</v>
      </c>
      <c r="J6">
        <v>2832.15</v>
      </c>
    </row>
    <row r="7" spans="1:22" x14ac:dyDescent="0.25">
      <c r="A7" s="29">
        <v>44372</v>
      </c>
      <c r="B7" s="30" t="s">
        <v>42</v>
      </c>
      <c r="C7" s="30" t="s">
        <v>50</v>
      </c>
      <c r="D7" s="30" t="s">
        <v>46</v>
      </c>
      <c r="E7" s="30">
        <v>90</v>
      </c>
      <c r="F7" s="30">
        <v>4.99</v>
      </c>
      <c r="G7" s="31">
        <f t="shared" si="0"/>
        <v>449.1</v>
      </c>
      <c r="I7" s="15" t="s">
        <v>43</v>
      </c>
      <c r="J7">
        <v>2309.84</v>
      </c>
    </row>
    <row r="8" spans="1:22" x14ac:dyDescent="0.25">
      <c r="A8" s="32">
        <v>44440</v>
      </c>
      <c r="B8" s="33" t="s">
        <v>42</v>
      </c>
      <c r="C8" s="33" t="s">
        <v>51</v>
      </c>
      <c r="D8" s="33" t="s">
        <v>52</v>
      </c>
      <c r="E8" s="33">
        <v>4</v>
      </c>
      <c r="F8" s="33">
        <v>200</v>
      </c>
      <c r="G8" s="34">
        <f t="shared" si="0"/>
        <v>800</v>
      </c>
      <c r="I8" s="15" t="s">
        <v>50</v>
      </c>
      <c r="J8">
        <v>1387.77</v>
      </c>
    </row>
    <row r="9" spans="1:22" x14ac:dyDescent="0.25">
      <c r="A9" s="29">
        <v>44474</v>
      </c>
      <c r="B9" s="30" t="s">
        <v>42</v>
      </c>
      <c r="C9" s="30" t="s">
        <v>50</v>
      </c>
      <c r="D9" s="30" t="s">
        <v>44</v>
      </c>
      <c r="E9" s="30">
        <v>28</v>
      </c>
      <c r="F9" s="30">
        <v>8.99</v>
      </c>
      <c r="G9" s="31">
        <f t="shared" si="0"/>
        <v>251.72</v>
      </c>
      <c r="I9" s="15" t="s">
        <v>51</v>
      </c>
      <c r="J9">
        <v>2191.4300000000003</v>
      </c>
    </row>
    <row r="10" spans="1:22" x14ac:dyDescent="0.25">
      <c r="A10" s="32">
        <v>44525</v>
      </c>
      <c r="B10" s="33" t="s">
        <v>42</v>
      </c>
      <c r="C10" s="33" t="s">
        <v>43</v>
      </c>
      <c r="D10" s="33" t="s">
        <v>53</v>
      </c>
      <c r="E10" s="33">
        <v>96</v>
      </c>
      <c r="F10" s="33">
        <v>4.99</v>
      </c>
      <c r="G10" s="34">
        <f t="shared" si="0"/>
        <v>479.04</v>
      </c>
      <c r="I10" s="13" t="s">
        <v>54</v>
      </c>
      <c r="J10">
        <v>6012.1299999999992</v>
      </c>
    </row>
    <row r="11" spans="1:22" x14ac:dyDescent="0.25">
      <c r="A11" s="29">
        <v>44542</v>
      </c>
      <c r="B11" s="30" t="s">
        <v>42</v>
      </c>
      <c r="C11" s="30" t="s">
        <v>51</v>
      </c>
      <c r="D11" s="30" t="s">
        <v>46</v>
      </c>
      <c r="E11" s="30">
        <v>67</v>
      </c>
      <c r="F11" s="30">
        <v>1.29</v>
      </c>
      <c r="G11" s="31">
        <f t="shared" si="0"/>
        <v>86.43</v>
      </c>
      <c r="I11" s="15" t="s">
        <v>56</v>
      </c>
      <c r="J11">
        <v>536.75</v>
      </c>
    </row>
    <row r="12" spans="1:22" x14ac:dyDescent="0.25">
      <c r="A12" s="32">
        <v>44576</v>
      </c>
      <c r="B12" s="33" t="s">
        <v>42</v>
      </c>
      <c r="C12" s="33" t="s">
        <v>47</v>
      </c>
      <c r="D12" s="33" t="s">
        <v>44</v>
      </c>
      <c r="E12" s="33">
        <v>46</v>
      </c>
      <c r="F12" s="33">
        <v>8.99</v>
      </c>
      <c r="G12" s="34">
        <f t="shared" si="0"/>
        <v>413.54</v>
      </c>
      <c r="I12" s="15" t="s">
        <v>55</v>
      </c>
      <c r="J12">
        <v>2373.08</v>
      </c>
    </row>
    <row r="13" spans="1:22" x14ac:dyDescent="0.25">
      <c r="A13" s="29">
        <v>44593</v>
      </c>
      <c r="B13" s="30" t="s">
        <v>42</v>
      </c>
      <c r="C13" s="30" t="s">
        <v>51</v>
      </c>
      <c r="D13" s="30" t="s">
        <v>44</v>
      </c>
      <c r="E13" s="30">
        <v>87</v>
      </c>
      <c r="F13" s="30">
        <v>15</v>
      </c>
      <c r="G13" s="31">
        <f t="shared" si="0"/>
        <v>1305</v>
      </c>
      <c r="I13" s="15" t="s">
        <v>57</v>
      </c>
      <c r="J13">
        <v>3102.2999999999997</v>
      </c>
    </row>
    <row r="14" spans="1:22" x14ac:dyDescent="0.25">
      <c r="A14" s="32">
        <v>44644</v>
      </c>
      <c r="B14" s="33" t="s">
        <v>42</v>
      </c>
      <c r="C14" s="33" t="s">
        <v>45</v>
      </c>
      <c r="D14" s="33" t="s">
        <v>53</v>
      </c>
      <c r="E14" s="33">
        <v>50</v>
      </c>
      <c r="F14" s="33">
        <v>4.99</v>
      </c>
      <c r="G14" s="34">
        <f t="shared" si="0"/>
        <v>249.5</v>
      </c>
      <c r="I14" s="13" t="s">
        <v>58</v>
      </c>
      <c r="J14">
        <v>2486.7199999999998</v>
      </c>
    </row>
    <row r="15" spans="1:22" x14ac:dyDescent="0.25">
      <c r="A15" s="29">
        <v>44661</v>
      </c>
      <c r="B15" s="30" t="s">
        <v>42</v>
      </c>
      <c r="C15" s="30" t="s">
        <v>49</v>
      </c>
      <c r="D15" s="30" t="s">
        <v>46</v>
      </c>
      <c r="E15" s="30">
        <v>66</v>
      </c>
      <c r="F15" s="30">
        <v>1.99</v>
      </c>
      <c r="G15" s="31">
        <f t="shared" si="0"/>
        <v>131.34</v>
      </c>
      <c r="I15" s="15" t="s">
        <v>59</v>
      </c>
      <c r="J15">
        <v>1283.6099999999999</v>
      </c>
    </row>
    <row r="16" spans="1:22" x14ac:dyDescent="0.25">
      <c r="A16" s="32">
        <v>44695</v>
      </c>
      <c r="B16" s="33" t="s">
        <v>42</v>
      </c>
      <c r="C16" s="33" t="s">
        <v>47</v>
      </c>
      <c r="D16" s="33" t="s">
        <v>46</v>
      </c>
      <c r="E16" s="33">
        <v>53</v>
      </c>
      <c r="F16" s="33">
        <v>1.29</v>
      </c>
      <c r="G16" s="34">
        <f t="shared" si="0"/>
        <v>68.37</v>
      </c>
      <c r="I16" s="15" t="s">
        <v>60</v>
      </c>
      <c r="J16">
        <v>1203.1099999999999</v>
      </c>
    </row>
    <row r="17" spans="1:10" x14ac:dyDescent="0.25">
      <c r="A17" s="29">
        <v>44712</v>
      </c>
      <c r="B17" s="30" t="s">
        <v>42</v>
      </c>
      <c r="C17" s="30" t="s">
        <v>47</v>
      </c>
      <c r="D17" s="30" t="s">
        <v>44</v>
      </c>
      <c r="E17" s="30">
        <v>80</v>
      </c>
      <c r="F17" s="30">
        <v>8.99</v>
      </c>
      <c r="G17" s="31">
        <f t="shared" si="0"/>
        <v>719.2</v>
      </c>
      <c r="I17" s="13" t="s">
        <v>105</v>
      </c>
    </row>
    <row r="18" spans="1:10" x14ac:dyDescent="0.25">
      <c r="A18" s="32">
        <v>44729</v>
      </c>
      <c r="B18" s="33" t="s">
        <v>42</v>
      </c>
      <c r="C18" s="33" t="s">
        <v>43</v>
      </c>
      <c r="D18" s="33" t="s">
        <v>52</v>
      </c>
      <c r="E18" s="33">
        <v>5</v>
      </c>
      <c r="F18" s="33">
        <v>125</v>
      </c>
      <c r="G18" s="34">
        <f t="shared" si="0"/>
        <v>625</v>
      </c>
      <c r="I18" s="15" t="s">
        <v>105</v>
      </c>
    </row>
    <row r="19" spans="1:10" x14ac:dyDescent="0.25">
      <c r="A19" s="29">
        <v>44763</v>
      </c>
      <c r="B19" s="30" t="s">
        <v>42</v>
      </c>
      <c r="C19" s="30" t="s">
        <v>50</v>
      </c>
      <c r="D19" s="30" t="s">
        <v>53</v>
      </c>
      <c r="E19" s="30">
        <v>55</v>
      </c>
      <c r="F19" s="30">
        <v>12.49</v>
      </c>
      <c r="G19" s="31">
        <f t="shared" si="0"/>
        <v>686.95</v>
      </c>
      <c r="I19" s="13" t="s">
        <v>62</v>
      </c>
      <c r="J19">
        <v>19408.280000000002</v>
      </c>
    </row>
    <row r="20" spans="1:10" x14ac:dyDescent="0.25">
      <c r="A20" s="32">
        <v>44780</v>
      </c>
      <c r="B20" s="33" t="s">
        <v>42</v>
      </c>
      <c r="C20" s="33" t="s">
        <v>43</v>
      </c>
      <c r="D20" s="33" t="s">
        <v>53</v>
      </c>
      <c r="E20" s="33">
        <v>42</v>
      </c>
      <c r="F20" s="33">
        <v>23.95</v>
      </c>
      <c r="G20" s="34">
        <f t="shared" si="0"/>
        <v>1005.9</v>
      </c>
    </row>
    <row r="21" spans="1:10" x14ac:dyDescent="0.25">
      <c r="A21" s="29">
        <v>44814</v>
      </c>
      <c r="B21" s="30" t="s">
        <v>42</v>
      </c>
      <c r="C21" s="30" t="s">
        <v>47</v>
      </c>
      <c r="D21" s="30" t="s">
        <v>46</v>
      </c>
      <c r="E21" s="30">
        <v>7</v>
      </c>
      <c r="F21" s="30">
        <v>1.29</v>
      </c>
      <c r="G21" s="31">
        <f t="shared" si="0"/>
        <v>9.0300000000000011</v>
      </c>
    </row>
    <row r="22" spans="1:10" x14ac:dyDescent="0.25">
      <c r="A22" s="32">
        <v>44865</v>
      </c>
      <c r="B22" s="33" t="s">
        <v>42</v>
      </c>
      <c r="C22" s="33" t="s">
        <v>49</v>
      </c>
      <c r="D22" s="33" t="s">
        <v>46</v>
      </c>
      <c r="E22" s="33">
        <v>14</v>
      </c>
      <c r="F22" s="33">
        <v>1.29</v>
      </c>
      <c r="G22" s="34">
        <f t="shared" si="0"/>
        <v>18.060000000000002</v>
      </c>
    </row>
    <row r="23" spans="1:10" x14ac:dyDescent="0.25">
      <c r="A23" s="29">
        <v>44882</v>
      </c>
      <c r="B23" s="30" t="s">
        <v>42</v>
      </c>
      <c r="C23" s="30" t="s">
        <v>45</v>
      </c>
      <c r="D23" s="30" t="s">
        <v>44</v>
      </c>
      <c r="E23" s="30">
        <v>11</v>
      </c>
      <c r="F23" s="30">
        <v>4.99</v>
      </c>
      <c r="G23" s="31">
        <f t="shared" si="0"/>
        <v>54.89</v>
      </c>
    </row>
    <row r="24" spans="1:10" x14ac:dyDescent="0.25">
      <c r="A24" s="32">
        <v>44899</v>
      </c>
      <c r="B24" s="33" t="s">
        <v>42</v>
      </c>
      <c r="C24" s="33" t="s">
        <v>45</v>
      </c>
      <c r="D24" s="33" t="s">
        <v>44</v>
      </c>
      <c r="E24" s="33">
        <v>94</v>
      </c>
      <c r="F24" s="33">
        <v>19.989999999999998</v>
      </c>
      <c r="G24" s="34">
        <f t="shared" si="0"/>
        <v>1879.06</v>
      </c>
    </row>
    <row r="25" spans="1:10" x14ac:dyDescent="0.25">
      <c r="A25" s="29">
        <v>44916</v>
      </c>
      <c r="B25" s="30" t="s">
        <v>42</v>
      </c>
      <c r="C25" s="30" t="s">
        <v>49</v>
      </c>
      <c r="D25" s="30" t="s">
        <v>44</v>
      </c>
      <c r="E25" s="30">
        <v>28</v>
      </c>
      <c r="F25" s="30">
        <v>4.99</v>
      </c>
      <c r="G25" s="31">
        <f t="shared" si="0"/>
        <v>139.72</v>
      </c>
    </row>
    <row r="26" spans="1:10" x14ac:dyDescent="0.25">
      <c r="A26" s="32">
        <v>44202</v>
      </c>
      <c r="B26" s="33" t="s">
        <v>54</v>
      </c>
      <c r="C26" s="33" t="s">
        <v>55</v>
      </c>
      <c r="D26" s="33" t="s">
        <v>46</v>
      </c>
      <c r="E26" s="33">
        <v>95</v>
      </c>
      <c r="F26" s="33">
        <v>1.99</v>
      </c>
      <c r="G26" s="34">
        <f t="shared" si="0"/>
        <v>189.05</v>
      </c>
    </row>
    <row r="27" spans="1:10" x14ac:dyDescent="0.25">
      <c r="A27" s="29">
        <v>44287</v>
      </c>
      <c r="B27" s="30" t="s">
        <v>54</v>
      </c>
      <c r="C27" s="30" t="s">
        <v>55</v>
      </c>
      <c r="D27" s="30" t="s">
        <v>44</v>
      </c>
      <c r="E27" s="30">
        <v>60</v>
      </c>
      <c r="F27" s="30">
        <v>4.99</v>
      </c>
      <c r="G27" s="31">
        <f t="shared" si="0"/>
        <v>299.40000000000003</v>
      </c>
    </row>
    <row r="28" spans="1:10" x14ac:dyDescent="0.25">
      <c r="A28" s="32">
        <v>44355</v>
      </c>
      <c r="B28" s="33" t="s">
        <v>54</v>
      </c>
      <c r="C28" s="33" t="s">
        <v>55</v>
      </c>
      <c r="D28" s="33" t="s">
        <v>44</v>
      </c>
      <c r="E28" s="33">
        <v>60</v>
      </c>
      <c r="F28" s="33">
        <v>8.99</v>
      </c>
      <c r="G28" s="34">
        <f t="shared" si="0"/>
        <v>539.4</v>
      </c>
    </row>
    <row r="29" spans="1:10" x14ac:dyDescent="0.25">
      <c r="A29" s="29">
        <v>44389</v>
      </c>
      <c r="B29" s="30" t="s">
        <v>54</v>
      </c>
      <c r="C29" s="30" t="s">
        <v>56</v>
      </c>
      <c r="D29" s="30" t="s">
        <v>44</v>
      </c>
      <c r="E29" s="30">
        <v>29</v>
      </c>
      <c r="F29" s="30">
        <v>1.99</v>
      </c>
      <c r="G29" s="31">
        <f t="shared" si="0"/>
        <v>57.71</v>
      </c>
    </row>
    <row r="30" spans="1:10" x14ac:dyDescent="0.25">
      <c r="A30" s="32">
        <v>44406</v>
      </c>
      <c r="B30" s="33" t="s">
        <v>54</v>
      </c>
      <c r="C30" s="33" t="s">
        <v>57</v>
      </c>
      <c r="D30" s="33" t="s">
        <v>44</v>
      </c>
      <c r="E30" s="33">
        <v>81</v>
      </c>
      <c r="F30" s="33">
        <v>19.989999999999998</v>
      </c>
      <c r="G30" s="34">
        <f t="shared" si="0"/>
        <v>1619.1899999999998</v>
      </c>
    </row>
    <row r="31" spans="1:10" x14ac:dyDescent="0.25">
      <c r="A31" s="29">
        <v>44423</v>
      </c>
      <c r="B31" s="30" t="s">
        <v>54</v>
      </c>
      <c r="C31" s="30" t="s">
        <v>55</v>
      </c>
      <c r="D31" s="30" t="s">
        <v>46</v>
      </c>
      <c r="E31" s="30">
        <v>35</v>
      </c>
      <c r="F31" s="30">
        <v>4.99</v>
      </c>
      <c r="G31" s="31">
        <f t="shared" si="0"/>
        <v>174.65</v>
      </c>
    </row>
    <row r="32" spans="1:10" x14ac:dyDescent="0.25">
      <c r="A32" s="32">
        <v>44457</v>
      </c>
      <c r="B32" s="33" t="s">
        <v>54</v>
      </c>
      <c r="C32" s="33" t="s">
        <v>55</v>
      </c>
      <c r="D32" s="33" t="s">
        <v>53</v>
      </c>
      <c r="E32" s="33">
        <v>16</v>
      </c>
      <c r="F32" s="33">
        <v>15.99</v>
      </c>
      <c r="G32" s="34">
        <f t="shared" si="0"/>
        <v>255.84</v>
      </c>
    </row>
    <row r="33" spans="1:7" x14ac:dyDescent="0.25">
      <c r="A33" s="29">
        <v>44491</v>
      </c>
      <c r="B33" s="30" t="s">
        <v>54</v>
      </c>
      <c r="C33" s="30" t="s">
        <v>55</v>
      </c>
      <c r="D33" s="30" t="s">
        <v>48</v>
      </c>
      <c r="E33" s="30">
        <v>64</v>
      </c>
      <c r="F33" s="30">
        <v>8.99</v>
      </c>
      <c r="G33" s="31">
        <f t="shared" si="0"/>
        <v>575.36</v>
      </c>
    </row>
    <row r="34" spans="1:7" x14ac:dyDescent="0.25">
      <c r="A34" s="32">
        <v>44508</v>
      </c>
      <c r="B34" s="33" t="s">
        <v>54</v>
      </c>
      <c r="C34" s="33" t="s">
        <v>57</v>
      </c>
      <c r="D34" s="33" t="s">
        <v>48</v>
      </c>
      <c r="E34" s="33">
        <v>15</v>
      </c>
      <c r="F34" s="33">
        <v>19.989999999999998</v>
      </c>
      <c r="G34" s="34">
        <f t="shared" si="0"/>
        <v>299.84999999999997</v>
      </c>
    </row>
    <row r="35" spans="1:7" x14ac:dyDescent="0.25">
      <c r="A35" s="29">
        <v>44559</v>
      </c>
      <c r="B35" s="30" t="s">
        <v>54</v>
      </c>
      <c r="C35" s="30" t="s">
        <v>57</v>
      </c>
      <c r="D35" s="30" t="s">
        <v>53</v>
      </c>
      <c r="E35" s="30">
        <v>74</v>
      </c>
      <c r="F35" s="30">
        <v>15.99</v>
      </c>
      <c r="G35" s="31">
        <f t="shared" si="0"/>
        <v>1183.26</v>
      </c>
    </row>
    <row r="36" spans="1:7" x14ac:dyDescent="0.25">
      <c r="A36" s="32">
        <v>44610</v>
      </c>
      <c r="B36" s="33" t="s">
        <v>54</v>
      </c>
      <c r="C36" s="33" t="s">
        <v>55</v>
      </c>
      <c r="D36" s="33" t="s">
        <v>44</v>
      </c>
      <c r="E36" s="33">
        <v>5</v>
      </c>
      <c r="F36" s="33">
        <v>6</v>
      </c>
      <c r="G36" s="34">
        <f t="shared" si="0"/>
        <v>30</v>
      </c>
    </row>
    <row r="37" spans="1:7" x14ac:dyDescent="0.25">
      <c r="A37" s="29">
        <v>44678</v>
      </c>
      <c r="B37" s="30" t="s">
        <v>54</v>
      </c>
      <c r="C37" s="30" t="s">
        <v>56</v>
      </c>
      <c r="D37" s="30" t="s">
        <v>48</v>
      </c>
      <c r="E37" s="30">
        <v>96</v>
      </c>
      <c r="F37" s="30">
        <v>4.99</v>
      </c>
      <c r="G37" s="31">
        <f t="shared" si="0"/>
        <v>479.04</v>
      </c>
    </row>
    <row r="38" spans="1:7" x14ac:dyDescent="0.25">
      <c r="A38" s="32">
        <v>44746</v>
      </c>
      <c r="B38" s="33" t="s">
        <v>54</v>
      </c>
      <c r="C38" s="33" t="s">
        <v>55</v>
      </c>
      <c r="D38" s="33" t="s">
        <v>53</v>
      </c>
      <c r="E38" s="33">
        <v>62</v>
      </c>
      <c r="F38" s="33">
        <v>4.99</v>
      </c>
      <c r="G38" s="34">
        <f t="shared" si="0"/>
        <v>309.38</v>
      </c>
    </row>
    <row r="39" spans="1:7" x14ac:dyDescent="0.25">
      <c r="A39" s="29">
        <v>44270</v>
      </c>
      <c r="B39" s="30" t="s">
        <v>58</v>
      </c>
      <c r="C39" s="30" t="s">
        <v>59</v>
      </c>
      <c r="D39" s="30" t="s">
        <v>46</v>
      </c>
      <c r="E39" s="30">
        <v>56</v>
      </c>
      <c r="F39" s="30">
        <v>2.99</v>
      </c>
      <c r="G39" s="31">
        <f t="shared" si="0"/>
        <v>167.44</v>
      </c>
    </row>
    <row r="40" spans="1:7" x14ac:dyDescent="0.25">
      <c r="A40" s="32">
        <v>44338</v>
      </c>
      <c r="B40" s="33" t="s">
        <v>58</v>
      </c>
      <c r="C40" s="33" t="s">
        <v>60</v>
      </c>
      <c r="D40" s="33" t="s">
        <v>46</v>
      </c>
      <c r="E40" s="33">
        <v>32</v>
      </c>
      <c r="F40" s="33">
        <v>1.99</v>
      </c>
      <c r="G40" s="34">
        <f t="shared" si="0"/>
        <v>63.68</v>
      </c>
    </row>
    <row r="41" spans="1:7" x14ac:dyDescent="0.25">
      <c r="A41" s="29">
        <v>44627</v>
      </c>
      <c r="B41" s="30" t="s">
        <v>58</v>
      </c>
      <c r="C41" s="30" t="s">
        <v>59</v>
      </c>
      <c r="D41" s="30" t="s">
        <v>44</v>
      </c>
      <c r="E41" s="30">
        <v>7</v>
      </c>
      <c r="F41" s="30">
        <v>19.989999999999998</v>
      </c>
      <c r="G41" s="31">
        <f t="shared" si="0"/>
        <v>139.92999999999998</v>
      </c>
    </row>
    <row r="42" spans="1:7" x14ac:dyDescent="0.25">
      <c r="A42" s="32">
        <v>44797</v>
      </c>
      <c r="B42" s="33" t="s">
        <v>58</v>
      </c>
      <c r="C42" s="33" t="s">
        <v>59</v>
      </c>
      <c r="D42" s="33" t="s">
        <v>52</v>
      </c>
      <c r="E42" s="33">
        <v>3</v>
      </c>
      <c r="F42" s="33">
        <v>275</v>
      </c>
      <c r="G42" s="34">
        <f t="shared" si="0"/>
        <v>825</v>
      </c>
    </row>
    <row r="43" spans="1:7" x14ac:dyDescent="0.25">
      <c r="A43" s="29">
        <v>44831</v>
      </c>
      <c r="B43" s="30" t="s">
        <v>58</v>
      </c>
      <c r="C43" s="30" t="s">
        <v>59</v>
      </c>
      <c r="D43" s="30" t="s">
        <v>48</v>
      </c>
      <c r="E43" s="30">
        <v>76</v>
      </c>
      <c r="F43" s="30">
        <v>1.99</v>
      </c>
      <c r="G43" s="31">
        <f t="shared" si="0"/>
        <v>151.24</v>
      </c>
    </row>
    <row r="44" spans="1:7" x14ac:dyDescent="0.25">
      <c r="A44" s="32">
        <v>44848</v>
      </c>
      <c r="B44" s="33" t="s">
        <v>58</v>
      </c>
      <c r="C44" s="33" t="s">
        <v>60</v>
      </c>
      <c r="D44" s="33" t="s">
        <v>44</v>
      </c>
      <c r="E44" s="33">
        <v>57</v>
      </c>
      <c r="F44" s="33">
        <v>19.989999999999998</v>
      </c>
      <c r="G44" s="34">
        <f t="shared" si="0"/>
        <v>1139.4299999999998</v>
      </c>
    </row>
    <row r="45" spans="1:7" ht="15.75" thickBot="1" x14ac:dyDescent="0.3">
      <c r="A45" s="35"/>
      <c r="B45" s="36"/>
      <c r="C45" s="36"/>
      <c r="D45" s="36"/>
      <c r="E45" s="36"/>
      <c r="F45" s="36"/>
      <c r="G45" s="37"/>
    </row>
    <row r="46" spans="1:7" x14ac:dyDescent="0.25">
      <c r="A46"/>
    </row>
    <row r="47" spans="1:7" x14ac:dyDescent="0.25">
      <c r="A47"/>
    </row>
    <row r="48" spans="1:7"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sheetData>
  <mergeCells count="1">
    <mergeCell ref="I1:V1"/>
  </mergeCells>
  <pageMargins left="0.7" right="0.7" top="0.75" bottom="0.75" header="0.3" footer="0.3"/>
  <pageSetup orientation="portrait" horizontalDpi="90" verticalDpi="90"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1C4A-F316-45AB-9336-B0B21337D753}">
  <sheetPr>
    <tabColor rgb="FFFFFF00"/>
  </sheetPr>
  <dimension ref="C1:M71"/>
  <sheetViews>
    <sheetView topLeftCell="A22" zoomScaleNormal="100" workbookViewId="0">
      <selection activeCell="G49" sqref="G49"/>
    </sheetView>
  </sheetViews>
  <sheetFormatPr defaultRowHeight="15" x14ac:dyDescent="0.25"/>
  <cols>
    <col min="1" max="1" width="45.7109375" customWidth="1"/>
    <col min="2" max="2" width="5" customWidth="1"/>
    <col min="3" max="3" width="14.140625" customWidth="1"/>
    <col min="4" max="4" width="11.28515625" customWidth="1"/>
    <col min="5" max="5" width="13.28515625" customWidth="1"/>
    <col min="10" max="10" width="7.5703125" customWidth="1"/>
    <col min="11" max="11" width="10.5703125" customWidth="1"/>
    <col min="12" max="12" width="5.7109375" customWidth="1"/>
    <col min="13" max="13" width="101.5703125" customWidth="1"/>
  </cols>
  <sheetData>
    <row r="1" spans="3:13" ht="29.25" customHeight="1" thickBot="1" x14ac:dyDescent="0.3">
      <c r="C1" s="113" t="s">
        <v>106</v>
      </c>
      <c r="D1" s="113"/>
      <c r="E1" s="113"/>
      <c r="F1" s="113"/>
      <c r="G1" s="113"/>
    </row>
    <row r="2" spans="3:13" ht="15.75" thickBot="1" x14ac:dyDescent="0.3">
      <c r="C2" s="54" t="s">
        <v>113</v>
      </c>
      <c r="D2" s="55" t="s">
        <v>107</v>
      </c>
      <c r="E2" s="55" t="s">
        <v>108</v>
      </c>
      <c r="F2" s="56" t="s">
        <v>112</v>
      </c>
      <c r="L2">
        <v>1</v>
      </c>
      <c r="M2" t="s">
        <v>118</v>
      </c>
    </row>
    <row r="3" spans="3:13" x14ac:dyDescent="0.25">
      <c r="C3" s="50">
        <v>1</v>
      </c>
      <c r="D3" s="51" t="s">
        <v>57</v>
      </c>
      <c r="E3" s="52" t="s">
        <v>109</v>
      </c>
      <c r="F3" s="53">
        <v>58</v>
      </c>
      <c r="L3">
        <v>2</v>
      </c>
      <c r="M3" t="s">
        <v>114</v>
      </c>
    </row>
    <row r="4" spans="3:13" x14ac:dyDescent="0.25">
      <c r="C4" s="43">
        <v>2</v>
      </c>
      <c r="D4" s="45" t="s">
        <v>55</v>
      </c>
      <c r="E4" s="45" t="s">
        <v>109</v>
      </c>
      <c r="F4" s="46">
        <v>43</v>
      </c>
      <c r="L4">
        <v>3</v>
      </c>
      <c r="M4" t="s">
        <v>119</v>
      </c>
    </row>
    <row r="5" spans="3:13" x14ac:dyDescent="0.25">
      <c r="C5" s="43">
        <v>3</v>
      </c>
      <c r="D5" s="44" t="s">
        <v>56</v>
      </c>
      <c r="E5" s="45" t="s">
        <v>110</v>
      </c>
      <c r="F5" s="46">
        <v>65</v>
      </c>
      <c r="L5">
        <v>4</v>
      </c>
      <c r="M5" s="57" t="s">
        <v>115</v>
      </c>
    </row>
    <row r="6" spans="3:13" x14ac:dyDescent="0.25">
      <c r="C6" s="43">
        <v>4</v>
      </c>
      <c r="D6" s="45" t="s">
        <v>60</v>
      </c>
      <c r="E6" s="45" t="s">
        <v>110</v>
      </c>
      <c r="F6" s="46">
        <v>100</v>
      </c>
    </row>
    <row r="7" spans="3:13" x14ac:dyDescent="0.25">
      <c r="C7" s="43">
        <v>5</v>
      </c>
      <c r="D7" s="44" t="s">
        <v>59</v>
      </c>
      <c r="E7" s="45" t="s">
        <v>111</v>
      </c>
      <c r="F7" s="46">
        <v>45</v>
      </c>
    </row>
    <row r="8" spans="3:13" ht="15.75" thickBot="1" x14ac:dyDescent="0.3">
      <c r="C8" s="47">
        <v>6</v>
      </c>
      <c r="D8" s="48" t="s">
        <v>47</v>
      </c>
      <c r="E8" s="48" t="s">
        <v>111</v>
      </c>
      <c r="F8" s="49">
        <v>80</v>
      </c>
    </row>
    <row r="18" spans="3:13" ht="30" customHeight="1" thickBot="1" x14ac:dyDescent="0.3">
      <c r="C18" s="113" t="s">
        <v>141</v>
      </c>
      <c r="D18" s="113"/>
      <c r="E18" s="113"/>
      <c r="F18" s="113"/>
      <c r="G18" s="113"/>
      <c r="M18" s="59" t="s">
        <v>140</v>
      </c>
    </row>
    <row r="19" spans="3:13" ht="15.75" thickBot="1" x14ac:dyDescent="0.3">
      <c r="C19" s="68" t="s">
        <v>107</v>
      </c>
      <c r="D19" s="69" t="s">
        <v>126</v>
      </c>
      <c r="E19" s="69" t="s">
        <v>127</v>
      </c>
      <c r="F19" s="69" t="s">
        <v>128</v>
      </c>
      <c r="G19" s="69" t="s">
        <v>129</v>
      </c>
      <c r="H19" s="69" t="s">
        <v>130</v>
      </c>
      <c r="I19" s="69" t="s">
        <v>131</v>
      </c>
      <c r="J19" s="70" t="s">
        <v>112</v>
      </c>
      <c r="K19" s="67" t="s">
        <v>157</v>
      </c>
      <c r="M19" t="s">
        <v>120</v>
      </c>
    </row>
    <row r="20" spans="3:13" x14ac:dyDescent="0.25">
      <c r="C20" s="42" t="s">
        <v>133</v>
      </c>
      <c r="D20" s="58" t="s">
        <v>111</v>
      </c>
      <c r="E20" s="58">
        <v>20</v>
      </c>
      <c r="F20" s="58">
        <v>10</v>
      </c>
      <c r="G20" s="58">
        <v>55</v>
      </c>
      <c r="H20" s="58">
        <v>15</v>
      </c>
      <c r="I20" s="58">
        <v>20</v>
      </c>
      <c r="J20" s="71">
        <v>80</v>
      </c>
      <c r="K20" s="72">
        <v>45349</v>
      </c>
      <c r="M20" t="s">
        <v>121</v>
      </c>
    </row>
    <row r="21" spans="3:13" x14ac:dyDescent="0.25">
      <c r="C21" s="43" t="s">
        <v>134</v>
      </c>
      <c r="D21" s="45" t="s">
        <v>109</v>
      </c>
      <c r="E21" s="45">
        <v>95</v>
      </c>
      <c r="F21" s="45">
        <v>125</v>
      </c>
      <c r="G21" s="45">
        <v>79</v>
      </c>
      <c r="H21" s="45">
        <v>60</v>
      </c>
      <c r="I21" s="45">
        <v>100</v>
      </c>
      <c r="J21" s="65">
        <v>81</v>
      </c>
      <c r="K21" s="73">
        <v>45617</v>
      </c>
      <c r="M21" t="s">
        <v>122</v>
      </c>
    </row>
    <row r="22" spans="3:13" x14ac:dyDescent="0.25">
      <c r="C22" s="43" t="s">
        <v>135</v>
      </c>
      <c r="D22" s="45" t="s">
        <v>111</v>
      </c>
      <c r="E22" s="45">
        <v>130</v>
      </c>
      <c r="F22" s="45">
        <v>85</v>
      </c>
      <c r="G22" s="45">
        <v>80</v>
      </c>
      <c r="H22" s="45">
        <v>85</v>
      </c>
      <c r="I22" s="45">
        <v>95</v>
      </c>
      <c r="J22" s="65">
        <v>60</v>
      </c>
      <c r="K22" s="73">
        <v>45617</v>
      </c>
      <c r="M22" t="s">
        <v>123</v>
      </c>
    </row>
    <row r="23" spans="3:13" x14ac:dyDescent="0.25">
      <c r="C23" s="43" t="s">
        <v>136</v>
      </c>
      <c r="D23" s="45" t="s">
        <v>110</v>
      </c>
      <c r="E23" s="45">
        <v>48</v>
      </c>
      <c r="F23" s="45">
        <v>48</v>
      </c>
      <c r="G23" s="45">
        <v>48</v>
      </c>
      <c r="H23" s="45">
        <v>48</v>
      </c>
      <c r="I23" s="45">
        <v>48</v>
      </c>
      <c r="J23" s="65">
        <v>48</v>
      </c>
      <c r="K23" s="73">
        <v>45563</v>
      </c>
      <c r="M23" t="s">
        <v>124</v>
      </c>
    </row>
    <row r="24" spans="3:13" x14ac:dyDescent="0.25">
      <c r="C24" s="43" t="s">
        <v>137</v>
      </c>
      <c r="D24" s="45" t="s">
        <v>110</v>
      </c>
      <c r="E24" s="45">
        <v>55</v>
      </c>
      <c r="F24" s="45">
        <v>55</v>
      </c>
      <c r="G24" s="45">
        <v>50</v>
      </c>
      <c r="H24" s="45">
        <v>45</v>
      </c>
      <c r="I24" s="45">
        <v>65</v>
      </c>
      <c r="J24" s="65">
        <v>55</v>
      </c>
      <c r="K24" s="73">
        <v>45553</v>
      </c>
      <c r="M24" t="s">
        <v>125</v>
      </c>
    </row>
    <row r="25" spans="3:13" x14ac:dyDescent="0.25">
      <c r="C25" s="43" t="s">
        <v>138</v>
      </c>
      <c r="D25" s="45" t="s">
        <v>111</v>
      </c>
      <c r="E25" s="45">
        <v>130</v>
      </c>
      <c r="F25" s="45">
        <v>65</v>
      </c>
      <c r="G25" s="45">
        <v>60</v>
      </c>
      <c r="H25" s="45">
        <v>110</v>
      </c>
      <c r="I25" s="45">
        <v>95</v>
      </c>
      <c r="J25" s="65">
        <v>65</v>
      </c>
      <c r="K25" s="73">
        <v>45577</v>
      </c>
    </row>
    <row r="26" spans="3:13" ht="18" customHeight="1" thickBot="1" x14ac:dyDescent="0.3">
      <c r="C26" s="47" t="s">
        <v>139</v>
      </c>
      <c r="D26" s="48" t="s">
        <v>132</v>
      </c>
      <c r="E26" s="48">
        <v>65</v>
      </c>
      <c r="F26" s="48">
        <v>65</v>
      </c>
      <c r="G26" s="48">
        <v>60</v>
      </c>
      <c r="H26" s="48">
        <v>110</v>
      </c>
      <c r="I26" s="48">
        <v>95</v>
      </c>
      <c r="J26" s="66">
        <v>130</v>
      </c>
      <c r="K26" s="74">
        <v>45316</v>
      </c>
      <c r="L26" s="61"/>
      <c r="M26" s="64" t="s">
        <v>145</v>
      </c>
    </row>
    <row r="27" spans="3:13" ht="15.75" thickBot="1" x14ac:dyDescent="0.3">
      <c r="L27" s="61"/>
      <c r="M27" s="63" t="s">
        <v>146</v>
      </c>
    </row>
    <row r="28" spans="3:13" x14ac:dyDescent="0.25">
      <c r="L28" s="61">
        <v>1</v>
      </c>
      <c r="M28" t="s">
        <v>142</v>
      </c>
    </row>
    <row r="29" spans="3:13" x14ac:dyDescent="0.25">
      <c r="C29" s="60" t="s">
        <v>151</v>
      </c>
      <c r="D29" s="61">
        <v>55</v>
      </c>
      <c r="E29" s="62" t="s">
        <v>156</v>
      </c>
      <c r="L29" s="5">
        <v>2</v>
      </c>
      <c r="M29" t="s">
        <v>143</v>
      </c>
    </row>
    <row r="30" spans="3:13" x14ac:dyDescent="0.25">
      <c r="C30" s="60" t="s">
        <v>152</v>
      </c>
      <c r="D30" s="61">
        <v>50</v>
      </c>
      <c r="L30" s="61">
        <v>3</v>
      </c>
      <c r="M30" t="s">
        <v>147</v>
      </c>
    </row>
    <row r="31" spans="3:13" x14ac:dyDescent="0.25">
      <c r="C31" s="60" t="s">
        <v>153</v>
      </c>
      <c r="D31" s="61">
        <v>75</v>
      </c>
      <c r="L31" s="5">
        <v>4</v>
      </c>
      <c r="M31" t="s">
        <v>148</v>
      </c>
    </row>
    <row r="32" spans="3:13" x14ac:dyDescent="0.25">
      <c r="C32" s="60" t="s">
        <v>154</v>
      </c>
      <c r="D32" s="61" t="s">
        <v>155</v>
      </c>
      <c r="L32" s="5">
        <v>6</v>
      </c>
      <c r="M32" t="s">
        <v>144</v>
      </c>
    </row>
    <row r="33" spans="3:13" x14ac:dyDescent="0.25">
      <c r="C33" s="60"/>
      <c r="L33" s="61">
        <v>7</v>
      </c>
      <c r="M33" t="s">
        <v>149</v>
      </c>
    </row>
    <row r="34" spans="3:13" ht="15.75" thickBot="1" x14ac:dyDescent="0.3">
      <c r="C34" s="59" t="s">
        <v>160</v>
      </c>
      <c r="D34" s="114" t="s">
        <v>161</v>
      </c>
      <c r="E34" s="114"/>
      <c r="L34" s="5">
        <v>8</v>
      </c>
      <c r="M34" t="s">
        <v>150</v>
      </c>
    </row>
    <row r="35" spans="3:13" x14ac:dyDescent="0.25">
      <c r="C35" s="60" t="s">
        <v>158</v>
      </c>
      <c r="D35" s="72">
        <v>45349</v>
      </c>
    </row>
    <row r="36" spans="3:13" ht="15.75" thickBot="1" x14ac:dyDescent="0.3">
      <c r="C36" s="60" t="s">
        <v>159</v>
      </c>
      <c r="D36" s="74">
        <v>45316</v>
      </c>
    </row>
    <row r="39" spans="3:13" ht="23.25" customHeight="1" thickBot="1" x14ac:dyDescent="0.3">
      <c r="C39" s="113" t="s">
        <v>163</v>
      </c>
      <c r="D39" s="113"/>
      <c r="E39" s="113"/>
      <c r="F39" s="113"/>
      <c r="G39" s="113"/>
    </row>
    <row r="40" spans="3:13" ht="15.75" thickBot="1" x14ac:dyDescent="0.3">
      <c r="C40" s="126" t="s">
        <v>107</v>
      </c>
      <c r="D40" s="127" t="s">
        <v>126</v>
      </c>
      <c r="E40" s="128" t="s">
        <v>112</v>
      </c>
    </row>
    <row r="41" spans="3:13" x14ac:dyDescent="0.25">
      <c r="C41" s="123" t="s">
        <v>169</v>
      </c>
      <c r="D41" s="124" t="s">
        <v>109</v>
      </c>
      <c r="E41" s="125">
        <v>45</v>
      </c>
    </row>
    <row r="42" spans="3:13" x14ac:dyDescent="0.25">
      <c r="C42" s="118" t="s">
        <v>170</v>
      </c>
      <c r="D42" s="117" t="s">
        <v>109</v>
      </c>
      <c r="E42" s="119">
        <v>60</v>
      </c>
      <c r="K42" t="s">
        <v>197</v>
      </c>
      <c r="M42" t="s">
        <v>122</v>
      </c>
    </row>
    <row r="43" spans="3:13" x14ac:dyDescent="0.25">
      <c r="C43" s="118" t="s">
        <v>171</v>
      </c>
      <c r="D43" s="117" t="s">
        <v>109</v>
      </c>
      <c r="E43" s="119">
        <v>80</v>
      </c>
      <c r="K43" t="s">
        <v>196</v>
      </c>
      <c r="M43" t="s">
        <v>120</v>
      </c>
    </row>
    <row r="44" spans="3:13" x14ac:dyDescent="0.25">
      <c r="C44" s="118" t="s">
        <v>172</v>
      </c>
      <c r="D44" s="117" t="s">
        <v>110</v>
      </c>
      <c r="E44" s="119">
        <v>65</v>
      </c>
    </row>
    <row r="45" spans="3:13" x14ac:dyDescent="0.25">
      <c r="C45" s="118" t="s">
        <v>173</v>
      </c>
      <c r="D45" s="117" t="s">
        <v>110</v>
      </c>
      <c r="E45" s="119">
        <v>80</v>
      </c>
    </row>
    <row r="46" spans="3:13" x14ac:dyDescent="0.25">
      <c r="C46" s="118" t="s">
        <v>174</v>
      </c>
      <c r="D46" s="117" t="s">
        <v>110</v>
      </c>
      <c r="E46" s="119">
        <v>100</v>
      </c>
    </row>
    <row r="47" spans="3:13" x14ac:dyDescent="0.25">
      <c r="C47" s="118" t="s">
        <v>175</v>
      </c>
      <c r="D47" s="117" t="s">
        <v>111</v>
      </c>
      <c r="E47" s="119">
        <v>43</v>
      </c>
    </row>
    <row r="48" spans="3:13" x14ac:dyDescent="0.25">
      <c r="C48" s="118" t="s">
        <v>176</v>
      </c>
      <c r="D48" s="117" t="s">
        <v>111</v>
      </c>
      <c r="E48" s="119">
        <v>58</v>
      </c>
    </row>
    <row r="49" spans="3:5" x14ac:dyDescent="0.25">
      <c r="C49" s="118" t="s">
        <v>177</v>
      </c>
      <c r="D49" s="117" t="s">
        <v>111</v>
      </c>
      <c r="E49" s="119">
        <v>78</v>
      </c>
    </row>
    <row r="50" spans="3:5" x14ac:dyDescent="0.25">
      <c r="C50" s="118" t="s">
        <v>178</v>
      </c>
      <c r="D50" s="117" t="s">
        <v>164</v>
      </c>
      <c r="E50" s="119">
        <v>45</v>
      </c>
    </row>
    <row r="51" spans="3:5" x14ac:dyDescent="0.25">
      <c r="C51" s="118" t="s">
        <v>179</v>
      </c>
      <c r="D51" s="117" t="s">
        <v>164</v>
      </c>
      <c r="E51" s="119">
        <v>30</v>
      </c>
    </row>
    <row r="52" spans="3:5" x14ac:dyDescent="0.25">
      <c r="C52" s="118" t="s">
        <v>180</v>
      </c>
      <c r="D52" s="117" t="s">
        <v>164</v>
      </c>
      <c r="E52" s="119">
        <v>70</v>
      </c>
    </row>
    <row r="53" spans="3:5" x14ac:dyDescent="0.25">
      <c r="C53" s="118" t="s">
        <v>181</v>
      </c>
      <c r="D53" s="117" t="s">
        <v>164</v>
      </c>
      <c r="E53" s="119">
        <v>50</v>
      </c>
    </row>
    <row r="54" spans="3:5" x14ac:dyDescent="0.25">
      <c r="C54" s="118" t="s">
        <v>182</v>
      </c>
      <c r="D54" s="117" t="s">
        <v>164</v>
      </c>
      <c r="E54" s="119">
        <v>35</v>
      </c>
    </row>
    <row r="55" spans="3:5" x14ac:dyDescent="0.25">
      <c r="C55" s="118" t="s">
        <v>183</v>
      </c>
      <c r="D55" s="117" t="s">
        <v>165</v>
      </c>
      <c r="E55" s="119">
        <v>72</v>
      </c>
    </row>
    <row r="56" spans="3:5" x14ac:dyDescent="0.25">
      <c r="C56" s="118" t="s">
        <v>184</v>
      </c>
      <c r="D56" s="117" t="s">
        <v>165</v>
      </c>
      <c r="E56" s="119">
        <v>97</v>
      </c>
    </row>
    <row r="57" spans="3:5" x14ac:dyDescent="0.25">
      <c r="C57" s="118" t="s">
        <v>185</v>
      </c>
      <c r="D57" s="117" t="s">
        <v>165</v>
      </c>
      <c r="E57" s="119">
        <v>70</v>
      </c>
    </row>
    <row r="58" spans="3:5" x14ac:dyDescent="0.25">
      <c r="C58" s="118" t="s">
        <v>186</v>
      </c>
      <c r="D58" s="117" t="s">
        <v>165</v>
      </c>
      <c r="E58" s="119">
        <v>100</v>
      </c>
    </row>
    <row r="59" spans="3:5" x14ac:dyDescent="0.25">
      <c r="C59" s="118" t="s">
        <v>187</v>
      </c>
      <c r="D59" s="117" t="s">
        <v>166</v>
      </c>
      <c r="E59" s="119">
        <v>55</v>
      </c>
    </row>
    <row r="60" spans="3:5" x14ac:dyDescent="0.25">
      <c r="C60" s="118" t="s">
        <v>188</v>
      </c>
      <c r="D60" s="117" t="s">
        <v>166</v>
      </c>
      <c r="E60" s="119">
        <v>80</v>
      </c>
    </row>
    <row r="61" spans="3:5" x14ac:dyDescent="0.25">
      <c r="C61" s="118" t="s">
        <v>189</v>
      </c>
      <c r="D61" s="117" t="s">
        <v>132</v>
      </c>
      <c r="E61" s="119">
        <v>90</v>
      </c>
    </row>
    <row r="62" spans="3:5" x14ac:dyDescent="0.25">
      <c r="C62" s="118" t="s">
        <v>190</v>
      </c>
      <c r="D62" s="117" t="s">
        <v>132</v>
      </c>
      <c r="E62" s="119">
        <v>110</v>
      </c>
    </row>
    <row r="63" spans="3:5" x14ac:dyDescent="0.25">
      <c r="C63" s="118" t="s">
        <v>191</v>
      </c>
      <c r="D63" s="117" t="s">
        <v>167</v>
      </c>
      <c r="E63" s="119">
        <v>40</v>
      </c>
    </row>
    <row r="64" spans="3:5" x14ac:dyDescent="0.25">
      <c r="C64" s="118" t="s">
        <v>192</v>
      </c>
      <c r="D64" s="117" t="s">
        <v>167</v>
      </c>
      <c r="E64" s="119">
        <v>65</v>
      </c>
    </row>
    <row r="65" spans="3:5" x14ac:dyDescent="0.25">
      <c r="C65" s="118" t="s">
        <v>193</v>
      </c>
      <c r="D65" s="117" t="s">
        <v>166</v>
      </c>
      <c r="E65" s="119">
        <v>41</v>
      </c>
    </row>
    <row r="66" spans="3:5" ht="15.75" thickBot="1" x14ac:dyDescent="0.3">
      <c r="C66" s="120" t="s">
        <v>194</v>
      </c>
      <c r="D66" s="121" t="s">
        <v>166</v>
      </c>
      <c r="E66" s="122">
        <v>56</v>
      </c>
    </row>
    <row r="67" spans="3:5" ht="15.75" thickBot="1" x14ac:dyDescent="0.3">
      <c r="C67" s="129" t="s">
        <v>198</v>
      </c>
      <c r="D67" s="130"/>
      <c r="E67" s="131">
        <f>AVERAGE(E41:E66)</f>
        <v>65.961538461538467</v>
      </c>
    </row>
    <row r="68" spans="3:5" x14ac:dyDescent="0.25">
      <c r="C68" s="116"/>
      <c r="D68" s="116"/>
      <c r="E68" s="116"/>
    </row>
    <row r="69" spans="3:5" x14ac:dyDescent="0.25">
      <c r="C69" s="116"/>
      <c r="D69" s="116"/>
      <c r="E69" s="116"/>
    </row>
    <row r="70" spans="3:5" x14ac:dyDescent="0.25">
      <c r="C70" s="116"/>
      <c r="D70" s="116"/>
      <c r="E70" s="116"/>
    </row>
    <row r="71" spans="3:5" x14ac:dyDescent="0.25">
      <c r="C71" t="s">
        <v>168</v>
      </c>
    </row>
  </sheetData>
  <mergeCells count="5">
    <mergeCell ref="C1:G1"/>
    <mergeCell ref="C18:G18"/>
    <mergeCell ref="D34:E34"/>
    <mergeCell ref="C39:G39"/>
    <mergeCell ref="C67:D67"/>
  </mergeCells>
  <conditionalFormatting sqref="F3:F8">
    <cfRule type="colorScale" priority="35">
      <colorScale>
        <cfvo type="min"/>
        <cfvo type="percentile" val="50"/>
        <cfvo type="max"/>
        <color rgb="FFF8696B"/>
        <color rgb="FFFFEB84"/>
        <color rgb="FF63BE7B"/>
      </colorScale>
    </cfRule>
  </conditionalFormatting>
  <conditionalFormatting sqref="M19">
    <cfRule type="containsText" dxfId="49" priority="34" operator="containsText" text="Light Red Fill with Dark Red Text">
      <formula>NOT(ISERROR(SEARCH("Light Red Fill with Dark Red Text",M19)))</formula>
    </cfRule>
  </conditionalFormatting>
  <conditionalFormatting sqref="M20">
    <cfRule type="containsText" dxfId="48" priority="33" operator="containsText" text="Yellow Fill with Dark Yellow Text">
      <formula>NOT(ISERROR(SEARCH("Yellow Fill with Dark Yellow Text",M20)))</formula>
    </cfRule>
  </conditionalFormatting>
  <conditionalFormatting sqref="M21">
    <cfRule type="containsText" dxfId="47" priority="32" operator="containsText" text="Green Fill with Dark Green Text">
      <formula>NOT(ISERROR(SEARCH("Green Fill with Dark Green Text",M21)))</formula>
    </cfRule>
  </conditionalFormatting>
  <conditionalFormatting sqref="M22">
    <cfRule type="containsText" dxfId="46" priority="31" operator="containsText" text="Light Red Fill">
      <formula>NOT(ISERROR(SEARCH("Light Red Fill",M22)))</formula>
    </cfRule>
  </conditionalFormatting>
  <conditionalFormatting sqref="M23">
    <cfRule type="containsText" dxfId="45" priority="30" operator="containsText" text="Red Text">
      <formula>NOT(ISERROR(SEARCH("Red Text",M23)))</formula>
    </cfRule>
  </conditionalFormatting>
  <conditionalFormatting sqref="M24">
    <cfRule type="containsText" dxfId="44" priority="29" operator="containsText" text="Red Border">
      <formula>NOT(ISERROR(SEARCH("Red Border",M24)))</formula>
    </cfRule>
  </conditionalFormatting>
  <conditionalFormatting sqref="E20:J26">
    <cfRule type="cellIs" dxfId="43" priority="16" operator="lessThan">
      <formula>51</formula>
    </cfRule>
    <cfRule type="cellIs" dxfId="42" priority="17" operator="between">
      <formula>60</formula>
      <formula>75</formula>
    </cfRule>
    <cfRule type="cellIs" dxfId="41" priority="18" operator="greaterThan">
      <formula>75</formula>
    </cfRule>
    <cfRule type="cellIs" dxfId="40" priority="19" operator="lessThan">
      <formula>50</formula>
    </cfRule>
    <cfRule type="cellIs" dxfId="39" priority="20" operator="equal">
      <formula>55</formula>
    </cfRule>
  </conditionalFormatting>
  <conditionalFormatting sqref="D20:D26">
    <cfRule type="cellIs" dxfId="38" priority="15" operator="equal">
      <formula>"water"</formula>
    </cfRule>
  </conditionalFormatting>
  <conditionalFormatting sqref="D29">
    <cfRule type="containsText" dxfId="37" priority="14" operator="containsText" text="55">
      <formula>NOT(ISERROR(SEARCH("55",D29)))</formula>
    </cfRule>
  </conditionalFormatting>
  <conditionalFormatting sqref="D30">
    <cfRule type="containsText" dxfId="36" priority="13" operator="containsText" text="50">
      <formula>NOT(ISERROR(SEARCH("50",D30)))</formula>
    </cfRule>
  </conditionalFormatting>
  <conditionalFormatting sqref="D31">
    <cfRule type="containsText" dxfId="35" priority="12" operator="containsText" text="75">
      <formula>NOT(ISERROR(SEARCH("75",D31)))</formula>
    </cfRule>
  </conditionalFormatting>
  <conditionalFormatting sqref="D32">
    <cfRule type="containsText" dxfId="34" priority="11" operator="containsText" text="60-75">
      <formula>NOT(ISERROR(SEARCH("60-75",D32)))</formula>
    </cfRule>
  </conditionalFormatting>
  <conditionalFormatting sqref="K20:K26">
    <cfRule type="timePeriod" dxfId="33" priority="10" timePeriod="lastWeek">
      <formula>AND(TODAY()-ROUNDDOWN(K20,0)&gt;=(WEEKDAY(TODAY())),TODAY()-ROUNDDOWN(K20,0)&lt;(WEEKDAY(TODAY())+7))</formula>
    </cfRule>
    <cfRule type="timePeriod" dxfId="32" priority="9" timePeriod="nextMonth">
      <formula>AND(MONTH(K20)=MONTH(EDATE(TODAY(),0+1)),YEAR(K20)=YEAR(EDATE(TODAY(),0+1)))</formula>
    </cfRule>
  </conditionalFormatting>
  <conditionalFormatting sqref="D35">
    <cfRule type="timePeriod" dxfId="31" priority="7" timePeriod="nextMonth">
      <formula>AND(MONTH(D35)=MONTH(EDATE(TODAY(),0+1)),YEAR(D35)=YEAR(EDATE(TODAY(),0+1)))</formula>
    </cfRule>
    <cfRule type="timePeriod" dxfId="30" priority="8" timePeriod="lastWeek">
      <formula>AND(TODAY()-ROUNDDOWN(D35,0)&gt;=(WEEKDAY(TODAY())),TODAY()-ROUNDDOWN(D35,0)&lt;(WEEKDAY(TODAY())+7))</formula>
    </cfRule>
  </conditionalFormatting>
  <conditionalFormatting sqref="D36">
    <cfRule type="timePeriod" dxfId="29" priority="5" timePeriod="nextMonth">
      <formula>AND(MONTH(D36)=MONTH(EDATE(TODAY(),0+1)),YEAR(D36)=YEAR(EDATE(TODAY(),0+1)))</formula>
    </cfRule>
    <cfRule type="timePeriod" dxfId="28" priority="6" timePeriod="lastWeek">
      <formula>AND(TODAY()-ROUNDDOWN(D36,0)&gt;=(WEEKDAY(TODAY())),TODAY()-ROUNDDOWN(D36,0)&lt;(WEEKDAY(TODAY())+7))</formula>
    </cfRule>
  </conditionalFormatting>
  <conditionalFormatting sqref="E41:E66">
    <cfRule type="aboveAverage" dxfId="1" priority="4"/>
    <cfRule type="aboveAverage" dxfId="2" priority="2" aboveAverage="0"/>
  </conditionalFormatting>
  <conditionalFormatting sqref="M42">
    <cfRule type="containsText" dxfId="27" priority="3" operator="containsText" text="Green Fill with Dark Green Text">
      <formula>NOT(ISERROR(SEARCH("Green Fill with Dark Green Text",M42)))</formula>
    </cfRule>
  </conditionalFormatting>
  <conditionalFormatting sqref="M43">
    <cfRule type="containsText" dxfId="0" priority="1" operator="containsText" text="Light Red Fill with Dark Red Text">
      <formula>NOT(ISERROR(SEARCH("Light Red Fill with Dark Red Text",M43)))</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dimension ref="A1:S42"/>
  <sheetViews>
    <sheetView zoomScale="130" zoomScaleNormal="130" workbookViewId="0">
      <selection activeCell="L16" sqref="L16"/>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65</v>
      </c>
      <c r="C9" s="2" t="s">
        <v>24</v>
      </c>
      <c r="D9" s="16" t="s">
        <v>21</v>
      </c>
      <c r="G9" t="s">
        <v>67</v>
      </c>
    </row>
    <row r="10" spans="1:7" x14ac:dyDescent="0.25">
      <c r="B10" s="1" t="s">
        <v>18</v>
      </c>
      <c r="C10" s="1" t="s">
        <v>23</v>
      </c>
    </row>
    <row r="11" spans="1:7" x14ac:dyDescent="0.25">
      <c r="B11" s="1" t="s">
        <v>19</v>
      </c>
      <c r="C11" s="7" t="s">
        <v>66</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115" t="s">
        <v>29</v>
      </c>
      <c r="G20" s="115"/>
      <c r="H20" s="115"/>
      <c r="I20" s="115"/>
      <c r="J20" s="115"/>
      <c r="K20" s="115"/>
      <c r="L20" s="115"/>
      <c r="M20" s="115"/>
      <c r="N20" s="115"/>
      <c r="O20" s="115"/>
      <c r="P20" s="115"/>
      <c r="Q20" s="115"/>
      <c r="R20" s="115"/>
      <c r="S20" s="115"/>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6" spans="1:4" x14ac:dyDescent="0.25">
      <c r="C36">
        <v>2</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Excel Basics</vt:lpstr>
      <vt:lpstr>Pivot Table and Chart</vt:lpstr>
      <vt:lpstr>Conditional Formatting</vt:lpstr>
      <vt:lpstr>shortcuts</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2024-02-01T06:11:04Z</dcterms:modified>
</cp:coreProperties>
</file>