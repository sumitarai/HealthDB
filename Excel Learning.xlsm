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DB90D40A-2ED9-4B9B-BBA4-EEDF4DA20FB7}"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tateCode" sheetId="11" r:id="rId6"/>
    <sheet name="shortcuts" sheetId="2" r:id="rId7"/>
  </sheets>
  <functionGroups builtInGroupCount="19"/>
  <definedNames>
    <definedName name="_xlnm._FilterDatabase" localSheetId="1" hidden="1">'Excel Basics'!$A$31:$N$73</definedName>
    <definedName name="_xlnm._FilterDatabase" localSheetId="2" hidden="1">'Pivot Table and Chart'!$A$3:$G$3</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4" i="10" l="1" a="1"/>
  <c r="C114" i="10" s="1"/>
  <c r="F9" i="10"/>
  <c r="F10" i="10"/>
  <c r="F11" i="10"/>
  <c r="F12" i="10"/>
  <c r="F5" i="10"/>
  <c r="F6" i="10"/>
  <c r="F7" i="10"/>
  <c r="F8" i="10"/>
  <c r="F4" i="10"/>
  <c r="C111" i="10"/>
  <c r="C103" i="10"/>
  <c r="C109" i="10"/>
  <c r="C107" i="10"/>
  <c r="C105" i="10"/>
  <c r="E104" i="10"/>
  <c r="E105" i="10"/>
  <c r="E103" i="10"/>
  <c r="G82" i="10"/>
  <c r="G83" i="10"/>
  <c r="G84" i="10"/>
  <c r="G85" i="10"/>
  <c r="G86" i="10"/>
  <c r="G87" i="10"/>
  <c r="G88" i="10"/>
  <c r="G89" i="10"/>
  <c r="G81" i="10"/>
  <c r="F82" i="10"/>
  <c r="F83" i="10"/>
  <c r="F84" i="10"/>
  <c r="F85" i="10"/>
  <c r="F86" i="10"/>
  <c r="F87" i="10"/>
  <c r="F88" i="10"/>
  <c r="F89" i="10"/>
  <c r="F81" i="10"/>
  <c r="E93" i="10" a="1"/>
  <c r="E93" i="10" s="1"/>
  <c r="D93" i="10"/>
  <c r="D94" i="10"/>
  <c r="D95" i="10"/>
  <c r="D96" i="10"/>
  <c r="D97" i="10"/>
  <c r="D98" i="10"/>
  <c r="D99" i="10"/>
  <c r="D100" i="10"/>
  <c r="D101" i="10"/>
  <c r="E82" i="10"/>
  <c r="E83" i="10"/>
  <c r="E84" i="10"/>
  <c r="E85" i="10"/>
  <c r="E86" i="10"/>
  <c r="E87" i="10"/>
  <c r="E88" i="10"/>
  <c r="E89" i="10"/>
  <c r="E81" i="10"/>
  <c r="D82" i="10"/>
  <c r="D83" i="10"/>
  <c r="D84" i="10"/>
  <c r="D85" i="10"/>
  <c r="D86" i="10"/>
  <c r="D87" i="10"/>
  <c r="D88" i="10"/>
  <c r="D89" i="10"/>
  <c r="D81" i="10"/>
  <c r="B81" i="10" a="1"/>
  <c r="B81" i="10" s="1"/>
  <c r="E70" i="10" a="1"/>
  <c r="E70" i="10" s="1"/>
  <c r="E71" i="10" a="1"/>
  <c r="E71" i="10" s="1"/>
  <c r="E72" i="10" a="1"/>
  <c r="E72" i="10" s="1"/>
  <c r="E73" i="10" a="1"/>
  <c r="E73" i="10"/>
  <c r="E74" i="10" a="1"/>
  <c r="E74" i="10"/>
  <c r="E75" i="10" a="1"/>
  <c r="E75" i="10" s="1"/>
  <c r="E76" i="10" a="1"/>
  <c r="E76" i="10" s="1"/>
  <c r="E77" i="10" a="1"/>
  <c r="E77" i="10" s="1"/>
  <c r="E69" i="10" a="1"/>
  <c r="E69" i="10" s="1"/>
  <c r="L62" i="10"/>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<sst xmlns="http://schemas.openxmlformats.org/spreadsheetml/2006/main" count="722" uniqueCount="406">
  <si>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</si>
  <si>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</si>
  <si>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</si>
  <si>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</si>
  <si>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</si>
  <si>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</si>
  <si>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</si>
  <si>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</si>
  <si>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</si>
  <si>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</si>
  <si>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</si>
  <si>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</si>
  <si>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</si>
  <si>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</si>
  <si>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</si>
  <si>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</si>
  <si>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</si>
  <si>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</si>
  <si>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</si>
  <si>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</si>
  <si>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</si>
  <si>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</si>
  <si>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</si>
  <si>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</si>
  <si>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</si>
  <si>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</si>
  <si>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</si>
  <si>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</si>
  <si>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</si>
  <si>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</si>
  <si>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</si>
  <si>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</si>
  <si>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</si>
  <si>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</si>
  <si>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</si>
  <si>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</si>
  <si>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</si>
  <si>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</si>
  <si>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</si>
  <si>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</si>
  <si>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</si>
  <si>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</si>
  <si>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</si>
  <si>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</si>
  <si>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</si>
  <si>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</si>
  <si>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</si>
  <si>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</si>
  <si>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</si>
  <si>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</si>
  <si>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</si>
  <si>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</si>
  <si>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</si>
  <si>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</si>
  <si>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</si>
  <si>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</si>
  <si>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</si>
  <si>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</si>
  <si>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</si>
  <si>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</si>
  <si>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</si>
  <si>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</si>
  <si>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</si>
  <si>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</si>
  <si>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</si>
  <si>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</si>
  <si>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</si>
  <si>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</si>
  <si>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</si>
  <si>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</si>
  <si>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</si>
  <si>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</si>
  <si>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</si>
  <si>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</si>
  <si>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</si>
  <si>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</si>
  <si>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</si>
  <si>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</si>
  <si>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</si>
  <si>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</si>
  <si>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</si>
  <si>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</si>
  <si>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</si>
  <si>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</si>
  <si>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</si>
  <si>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</si>
  <si>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</si>
  <si>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</si>
  <si>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</si>
  <si>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</si>
  <si>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</si>
  <si>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</si>
  <si>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</si>
  <si>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</si>
  <si>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</si>
  <si>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</si>
  <si>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</si>
  <si>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</si>
  <si>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</si>
  <si>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</si>
  <si>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</si>
  <si>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</si>
  <si>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</si>
  <si>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</si>
  <si>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</si>
  <si>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</si>
  <si>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</si>
  <si>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</si>
  <si>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</si>
  <si>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</si>
  <si>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</si>
  <si>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</si>
  <si>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</si>
  <si>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</si>
  <si>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</si>
  <si>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</si>
  <si>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</si>
  <si>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</si>
  <si>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</si>
  <si>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</si>
  <si>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</si>
  <si>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</si>
  <si>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</si>
  <si>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</si>
  <si>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</si>
  <si>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</si>
  <si>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</si>
  <si>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</si>
  <si>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</si>
  <si>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</si>
  <si>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</si>
  <si>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</si>
  <si>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</si>
  <si>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</si>
  <si>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</si>
  <si>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</si>
  <si>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</si>
  <si>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</si>
  <si>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</si>
  <si>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</si>
  <si>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</si>
  <si>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</si>
  <si>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</si>
  <si>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</si>
  <si>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</si>
  <si>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</si>
  <si>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</si>
  <si>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</si>
  <si>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</si>
  <si>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</si>
  <si>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</si>
  <si>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</si>
  <si>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</si>
  <si>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</si>
  <si>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</si>
  <si>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</si>
  <si>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</si>
  <si>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</si>
  <si>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</si>
  <si>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</si>
  <si>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</si>
  <si>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</si>
  <si>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</si>
  <si>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</si>
  <si>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</si>
  <si>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</si>
  <si>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</si>
  <si>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</si>
  <si>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</si>
  <si>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</si>
  <si>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</si>
  <si>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</si>
  <si>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</si>
  <si>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</si>
  <si>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</si>
  <si>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</si>
  <si>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</si>
  <si>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</si>
  <si>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</si>
  <si>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</si>
  <si>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</si>
  <si>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</si>
  <si>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</si>
  <si>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</si>
  <si>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</si>
  <si>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</si>
  <si>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</si>
  <si>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</si>
  <si>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</si>
  <si>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</si>
  <si>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</si>
  <si>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</si>
  <si>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</si>
  <si>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</si>
  <si>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</si>
  <si>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</si>
  <si>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</si>
  <si>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</si>
  <si>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</si>
  <si>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</si>
  <si>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</si>
  <si>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</si>
  <si>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</si>
  <si>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</si>
  <si>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</si>
  <si>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</si>
  <si>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</si>
  <si>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</si>
  <si>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</si>
  <si>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</si>
  <si>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</si>
  <si>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</si>
  <si>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</si>
  <si>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</si>
  <si>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</si>
  <si>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</si>
  <si>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</si>
  <si>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</si>
  <si>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</si>
  <si>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</si>
  <si>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</si>
  <si>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</si>
  <si>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</si>
  <si>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</si>
  <si>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</si>
  <si>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</si>
  <si>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</si>
  <si>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</si>
  <si>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</si>
  <si>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</si>
  <si>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</si>
  <si>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</si>
  <si>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</si>
  <si>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</si>
  <si>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</si>
  <si>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</si>
  <si>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</si>
  <si>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</si>
  <si>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</si>
  <si>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</si>
  <si>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</si>
  <si>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</si>
  <si>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</si>
  <si>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</si>
  <si>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</si>
  <si>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</si>
  <si>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</si>
  <si>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</si>
  <si>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</si>
  <si>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</si>
  <si>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</si>
  <si>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</si>
  <si>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</si>
  <si>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</si>
  <si>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</si>
  <si>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</si>
  <si>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</si>
  <si>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</si>
  <si>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</si>
  <si>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</si>
  <si>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</si>
  <si>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</si>
  <si>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</si>
  <si>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</si>
  <si>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</si>
  <si>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</si>
  <si>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</si>
  <si>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</si>
  <si>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</si>
  <si>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</si>
  <si>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</si>
  <si>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</si>
  <si>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</si>
  <si>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</si>
  <si>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</si>
  <si>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</si>
  <si>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</si>
  <si>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</si>
  <si>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</si>
  <si>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</si>
  <si>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</si>
  <si>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</si>
  <si>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</si>
  <si>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</si>
  <si>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</si>
  <si>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</si>
  <si>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</si>
  <si>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</si>
  <si>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</si>
  <si>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</si>
  <si>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</si>
  <si>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</si>
  <si>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</si>
  <si>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</si>
  <si>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</si>
  <si>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</si>
  <si>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</si>
  <si>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</si>
  <si>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</si>
  <si>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</si>
  <si>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</si>
  <si>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</si>
  <si>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</si>
  <si>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</si>
  <si>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</si>
  <si>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</si>
  <si>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</si>
  <si>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</si>
  <si>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</si>
  <si>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</si>
  <si>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</si>
  <si>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</si>
  <si>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</si>
  <si>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</si>
  <si>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</si>
  <si>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</si>
  <si>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</si>
  <si>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</si>
  <si>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</si>
  <si>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</si>
  <si>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</si>
  <si>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</si>
  <si>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</si>
  <si>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</si>
  <si>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</si>
  <si>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</si>
  <si>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</si>
  <si>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</si>
  <si>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</si>
  <si>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</si>
  <si>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</si>
  <si>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</si>
  <si>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</si>
  <si>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</si>
  <si>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</si>
  <si>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</si>
  <si>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</si>
  <si>
    <r>
      <rPr>
        <b/>
        <sz val="11"/>
        <color theme="1"/>
        <rFont val="Calibri"/>
        <family val="2"/>
        <scheme val="minor"/>
      </rPr>
      <t>IFS</t>
    </r>
    <r>
      <rPr>
        <sz val="11"/>
        <color theme="1"/>
        <rFont val="Calibri"/>
        <family val="2"/>
        <scheme val="minor"/>
      </rPr>
      <t xml:space="preserve"> function is a premade function in Excel, which returns values based on one or more true or false conditions. </t>
    </r>
    <r>
      <rPr>
        <b/>
        <sz val="11"/>
        <color theme="1"/>
        <rFont val="Calibri"/>
        <family val="2"/>
        <scheme val="minor"/>
      </rPr>
      <t>=IFS(logical_test1, value_if_true1, [logical_test2, value_if_true2], [logical_test3; ...)</t>
    </r>
  </si>
  <si>
    <r>
      <t xml:space="preserve">IF function
</t>
    </r>
    <r>
      <rPr>
        <sz val="11"/>
        <color theme="1"/>
        <rFont val="Calibri"/>
        <family val="2"/>
        <scheme val="minor"/>
      </rPr>
      <t>=IF(C69&gt;400, "High", "Low")</t>
    </r>
  </si>
  <si>
    <r>
      <t xml:space="preserve">IFs function
</t>
    </r>
    <r>
      <rPr>
        <sz val="11"/>
        <color theme="1"/>
        <rFont val="Calibri"/>
        <family val="2"/>
        <scheme val="minor"/>
      </rPr>
      <t>=IFS(C69&gt;400,"High", C69&gt;=300,"Normal",C69&lt;300,"Low")</t>
    </r>
  </si>
  <si>
    <t>TRIM</t>
  </si>
  <si>
    <t>Function</t>
  </si>
  <si>
    <r>
      <t xml:space="preserve">LEFT Function with Defined Length of Characters
</t>
    </r>
    <r>
      <rPr>
        <sz val="11"/>
        <color theme="1"/>
        <rFont val="Calibri"/>
        <family val="2"/>
        <scheme val="minor"/>
      </rPr>
      <t>=LEFT(B81,4)</t>
    </r>
  </si>
  <si>
    <r>
      <t xml:space="preserve">LEFT 
</t>
    </r>
    <r>
      <rPr>
        <sz val="11"/>
        <color theme="1"/>
        <rFont val="Calibri"/>
        <family val="2"/>
        <scheme val="minor"/>
      </rPr>
      <t>=LEFT(B81)</t>
    </r>
  </si>
  <si>
    <t>FiGhTINg</t>
  </si>
  <si>
    <t>WATER</t>
  </si>
  <si>
    <t>GrASs</t>
  </si>
  <si>
    <t>WateR</t>
  </si>
  <si>
    <t>EleCTric</t>
  </si>
  <si>
    <t>WaTEr</t>
  </si>
  <si>
    <t>WAtEr</t>
  </si>
  <si>
    <t>RoCk</t>
  </si>
  <si>
    <t>DRAGON</t>
  </si>
  <si>
    <t>ManKey</t>
  </si>
  <si>
    <t>pOLIwRAth</t>
  </si>
  <si>
    <t>VICtreeBeL</t>
  </si>
  <si>
    <t>TentaCool</t>
  </si>
  <si>
    <t>MagNETon</t>
  </si>
  <si>
    <t>DeWgONg</t>
  </si>
  <si>
    <t>CloysTER</t>
  </si>
  <si>
    <t>OnIX</t>
  </si>
  <si>
    <t>DragONAir</t>
  </si>
  <si>
    <r>
      <t xml:space="preserve">LOWER
</t>
    </r>
    <r>
      <rPr>
        <sz val="11"/>
        <color theme="1"/>
        <rFont val="Calibri"/>
        <family val="2"/>
        <scheme val="minor"/>
      </rPr>
      <t>=LOWER(A93)</t>
    </r>
  </si>
  <si>
    <t>Define range to use LOWER function on multiple cells
=LOWER(A93:B101)</t>
  </si>
  <si>
    <r>
      <t xml:space="preserve">RIGHT
</t>
    </r>
    <r>
      <rPr>
        <sz val="11"/>
        <color theme="1"/>
        <rFont val="Calibri"/>
        <family val="2"/>
        <scheme val="minor"/>
      </rPr>
      <t>=RIGHT(B81)</t>
    </r>
  </si>
  <si>
    <r>
      <rPr>
        <b/>
        <sz val="11"/>
        <color theme="1"/>
        <rFont val="Calibri"/>
        <family val="2"/>
        <scheme val="minor"/>
      </rPr>
      <t>4 Characters</t>
    </r>
    <r>
      <rPr>
        <sz val="11"/>
        <color theme="1"/>
        <rFont val="Calibri"/>
        <family val="2"/>
        <scheme val="minor"/>
      </rPr>
      <t xml:space="preserve">
=RIGHT(B81,4)</t>
    </r>
  </si>
  <si>
    <r>
      <rPr>
        <b/>
        <sz val="11"/>
        <color theme="1"/>
        <rFont val="Calibri"/>
        <family val="2"/>
        <scheme val="minor"/>
      </rPr>
      <t xml:space="preserve">LEFT </t>
    </r>
    <r>
      <rPr>
        <sz val="11"/>
        <color theme="1"/>
        <rFont val="Calibri"/>
        <family val="2"/>
        <scheme val="minor"/>
      </rPr>
      <t xml:space="preserve">function is used to retrieve a chosen amount of characters, counting from the left side of an Excel cell. The chosen number has to be greater than 0 and is set to 1 by default. </t>
    </r>
    <r>
      <rPr>
        <b/>
        <sz val="11"/>
        <color theme="1"/>
        <rFont val="Calibri"/>
        <family val="2"/>
        <scheme val="minor"/>
      </rPr>
      <t>=LEFT(cell)</t>
    </r>
    <r>
      <rPr>
        <sz val="11"/>
        <color theme="1"/>
        <rFont val="Calibri"/>
        <family val="2"/>
        <scheme val="minor"/>
      </rPr>
      <t xml:space="preserve">
LEFT Function with a Defined Length of Characters. </t>
    </r>
    <r>
      <rPr>
        <b/>
        <sz val="11"/>
        <color theme="1"/>
        <rFont val="Calibri"/>
        <family val="2"/>
        <scheme val="minor"/>
      </rPr>
      <t>=LEFT(cell,3)</t>
    </r>
  </si>
  <si>
    <r>
      <rPr>
        <b/>
        <sz val="11"/>
        <color theme="1"/>
        <rFont val="Calibri"/>
        <family val="2"/>
        <scheme val="minor"/>
      </rPr>
      <t>RIGHT</t>
    </r>
    <r>
      <rPr>
        <sz val="11"/>
        <color theme="1"/>
        <rFont val="Calibri"/>
        <family val="2"/>
        <scheme val="minor"/>
      </rPr>
      <t xml:space="preserve"> function is used to retrieve a chosen amount of characters, counting from the right side of an Excel cell. The chosen number has to be greater than 0 and is set to 1 by default. </t>
    </r>
    <r>
      <rPr>
        <b/>
        <sz val="11"/>
        <color theme="1"/>
        <rFont val="Calibri"/>
        <family val="2"/>
        <scheme val="minor"/>
      </rPr>
      <t>=RIGHT(cell)</t>
    </r>
  </si>
  <si>
    <r>
      <rPr>
        <b/>
        <sz val="11"/>
        <color theme="1"/>
        <rFont val="Calibri"/>
        <family val="2"/>
        <scheme val="minor"/>
      </rPr>
      <t>SUM</t>
    </r>
    <r>
      <rPr>
        <sz val="11"/>
        <color theme="1"/>
        <rFont val="Calibri"/>
        <family val="2"/>
        <scheme val="minor"/>
      </rPr>
      <t xml:space="preserve"> function is a premade function in Excel, which adds numbers in a range. </t>
    </r>
    <r>
      <rPr>
        <b/>
        <sz val="11"/>
        <color theme="1"/>
        <rFont val="Calibri"/>
        <family val="2"/>
        <scheme val="minor"/>
      </rPr>
      <t>=SUM(cellnumber1:cellnumber6)</t>
    </r>
  </si>
  <si>
    <r>
      <rPr>
        <b/>
        <sz val="11"/>
        <color theme="1"/>
        <rFont val="Calibri"/>
        <family val="2"/>
        <scheme val="minor"/>
      </rPr>
      <t>SUMIF</t>
    </r>
    <r>
      <rPr>
        <sz val="11"/>
        <color theme="1"/>
        <rFont val="Calibri"/>
        <family val="2"/>
        <scheme val="minor"/>
      </rPr>
      <t xml:space="preserve">
=SUMIF(C93:C101)</t>
    </r>
  </si>
  <si>
    <t>TYPES</t>
  </si>
  <si>
    <r>
      <rPr>
        <b/>
        <sz val="11"/>
        <color theme="1"/>
        <rFont val="Calibri"/>
        <family val="2"/>
        <scheme val="minor"/>
      </rPr>
      <t xml:space="preserve">SUMIF </t>
    </r>
    <r>
      <rPr>
        <sz val="11"/>
        <color theme="1"/>
        <rFont val="Calibri"/>
        <family val="2"/>
        <scheme val="minor"/>
      </rPr>
      <t xml:space="preserve">function is a premade function in Excel, which calculates the sum of values in a range based on a true or false condition. </t>
    </r>
    <r>
      <rPr>
        <b/>
        <sz val="11"/>
        <color theme="1"/>
        <rFont val="Calibri"/>
        <family val="2"/>
        <scheme val="minor"/>
      </rPr>
      <t>=SUMIF(range, criteria, [sum_range])</t>
    </r>
  </si>
  <si>
    <t>MAX</t>
  </si>
  <si>
    <t>MIN</t>
  </si>
  <si>
    <t>MEDIAN</t>
  </si>
  <si>
    <r>
      <rPr>
        <b/>
        <sz val="11"/>
        <color theme="1"/>
        <rFont val="Calibri"/>
        <family val="2"/>
        <scheme val="minor"/>
      </rPr>
      <t>SUM</t>
    </r>
    <r>
      <rPr>
        <sz val="11"/>
        <color theme="1"/>
        <rFont val="Calibri"/>
        <family val="2"/>
        <scheme val="minor"/>
      </rPr>
      <t xml:space="preserve">
=SUM(B102:B110)</t>
    </r>
  </si>
  <si>
    <r>
      <rPr>
        <b/>
        <sz val="11"/>
        <color theme="1"/>
        <rFont val="Calibri"/>
        <family val="2"/>
        <scheme val="minor"/>
      </rPr>
      <t xml:space="preserve">MAX </t>
    </r>
    <r>
      <rPr>
        <sz val="11"/>
        <color theme="1"/>
        <rFont val="Calibri"/>
        <family val="2"/>
        <scheme val="minor"/>
      </rPr>
      <t xml:space="preserve">function is a premade function in Excel, which finds the highest number in a range. </t>
    </r>
    <r>
      <rPr>
        <b/>
        <sz val="11"/>
        <color theme="1"/>
        <rFont val="Calibri"/>
        <family val="2"/>
        <scheme val="minor"/>
      </rPr>
      <t>=MAX(cell range)</t>
    </r>
  </si>
  <si>
    <r>
      <rPr>
        <b/>
        <sz val="11"/>
        <color theme="1"/>
        <rFont val="Calibri"/>
        <family val="2"/>
        <scheme val="minor"/>
      </rPr>
      <t>MEDIAN</t>
    </r>
    <r>
      <rPr>
        <sz val="11"/>
        <color theme="1"/>
        <rFont val="Calibri"/>
        <family val="2"/>
        <scheme val="minor"/>
      </rPr>
      <t xml:space="preserve"> function is a premade function in Excel, which returns the middle value in the data.</t>
    </r>
    <r>
      <rPr>
        <b/>
        <sz val="11"/>
        <color theme="1"/>
        <rFont val="Calibri"/>
        <family val="2"/>
        <scheme val="minor"/>
      </rPr>
      <t xml:space="preserve"> =MEDIAN(cellrange)</t>
    </r>
  </si>
  <si>
    <r>
      <rPr>
        <b/>
        <sz val="11"/>
        <color theme="1"/>
        <rFont val="Calibri"/>
        <family val="2"/>
        <scheme val="minor"/>
      </rPr>
      <t>MIN</t>
    </r>
    <r>
      <rPr>
        <sz val="11"/>
        <color theme="1"/>
        <rFont val="Calibri"/>
        <family val="2"/>
        <scheme val="minor"/>
      </rPr>
      <t xml:space="preserve"> function is a premade function in Excel, which finds the lowest number in a range. </t>
    </r>
    <r>
      <rPr>
        <b/>
        <sz val="11"/>
        <color theme="1"/>
        <rFont val="Calibri"/>
        <family val="2"/>
        <scheme val="minor"/>
      </rPr>
      <t>=MIN(cell range)</t>
    </r>
  </si>
  <si>
    <r>
      <rPr>
        <b/>
        <sz val="11"/>
        <color theme="1"/>
        <rFont val="Calibri"/>
        <family val="2"/>
        <scheme val="minor"/>
      </rPr>
      <t>MODE</t>
    </r>
    <r>
      <rPr>
        <sz val="11"/>
        <color theme="1"/>
        <rFont val="Calibri"/>
        <family val="2"/>
        <scheme val="minor"/>
      </rPr>
      <t xml:space="preserve"> function is a premade function in Excel, which is used to find the number seen most times.</t>
    </r>
  </si>
  <si>
    <t>MODE</t>
  </si>
  <si>
    <t>Note: The mode is a type of average value, which describes where most of the data is located.</t>
  </si>
  <si>
    <t>Ultiball</t>
  </si>
  <si>
    <r>
      <rPr>
        <b/>
        <sz val="11"/>
        <color theme="1"/>
        <rFont val="Calibri"/>
        <family val="2"/>
        <scheme val="minor"/>
      </rPr>
      <t>NPV</t>
    </r>
    <r>
      <rPr>
        <sz val="11"/>
        <color theme="1"/>
        <rFont val="Calibri"/>
        <family val="2"/>
        <scheme val="minor"/>
      </rPr>
      <t xml:space="preserve"> function is used to calculate the Net Present Value (NPV). </t>
    </r>
    <r>
      <rPr>
        <b/>
        <sz val="11"/>
        <color theme="1"/>
        <rFont val="Calibri"/>
        <family val="2"/>
        <scheme val="minor"/>
      </rPr>
      <t>=NPV(rate, value1, value2, ...)</t>
    </r>
  </si>
  <si>
    <t>XOR Functions</t>
  </si>
  <si>
    <r>
      <rPr>
        <b/>
        <sz val="11"/>
        <color theme="1"/>
        <rFont val="Calibri"/>
        <family val="2"/>
        <scheme val="minor"/>
      </rPr>
      <t>XOR</t>
    </r>
    <r>
      <rPr>
        <sz val="11"/>
        <color theme="1"/>
        <rFont val="Calibri"/>
        <family val="2"/>
        <scheme val="minor"/>
      </rPr>
      <t xml:space="preserve"> function is a premade function in Excel, which returns TRUE or FALSE based on two or more conditions. </t>
    </r>
    <r>
      <rPr>
        <b/>
        <sz val="11"/>
        <color theme="1"/>
        <rFont val="Calibri"/>
        <family val="2"/>
        <scheme val="minor"/>
      </rPr>
      <t xml:space="preserve">Note: </t>
    </r>
    <r>
      <rPr>
        <sz val="11"/>
        <color theme="1"/>
        <rFont val="Calibri"/>
        <family val="2"/>
        <scheme val="minor"/>
      </rPr>
      <t xml:space="preserve">For two conditions, you can think of the XOR function as: "either this or that, but not both"
</t>
    </r>
    <r>
      <rPr>
        <b/>
        <sz val="11"/>
        <color theme="1"/>
        <rFont val="Calibri"/>
        <family val="2"/>
        <scheme val="minor"/>
      </rPr>
      <t>T, T = F     /     T, F = T    /     F, T = T    /    F, F = F</t>
    </r>
  </si>
  <si>
    <t>=XOR(B4="Fire",C4&lt;=60)</t>
  </si>
  <si>
    <t>Fire Type XOR less than 60</t>
  </si>
  <si>
    <t>CO</t>
  </si>
  <si>
    <t>NY</t>
  </si>
  <si>
    <t>CA</t>
  </si>
  <si>
    <t>WY</t>
  </si>
  <si>
    <t>State Code</t>
  </si>
  <si>
    <t>Population</t>
  </si>
  <si>
    <t>State Name</t>
  </si>
  <si>
    <t>Colorado</t>
  </si>
  <si>
    <t>NE</t>
  </si>
  <si>
    <t>Nebraska</t>
  </si>
  <si>
    <t>New York</t>
  </si>
  <si>
    <t>TX</t>
  </si>
  <si>
    <t>Texas</t>
  </si>
  <si>
    <t>California</t>
  </si>
  <si>
    <t>Wayming</t>
  </si>
  <si>
    <r>
      <t xml:space="preserve">VLOOKUP function is a premade function in Excel, which allows searches across columns. </t>
    </r>
    <r>
      <rPr>
        <b/>
        <sz val="11"/>
        <color theme="1"/>
        <rFont val="Calibri"/>
        <family val="2"/>
        <scheme val="minor"/>
      </rPr>
      <t>=VLOOKUP(lookup_value, table_array, col_index_num, [range_lookup])</t>
    </r>
    <r>
      <rPr>
        <sz val="11"/>
        <color theme="1"/>
        <rFont val="Calibri"/>
        <family val="2"/>
        <scheme val="minor"/>
      </rPr>
      <t xml:space="preserve">
=VLOOKUP(lookup value, range containing the lookup value, the column number in the range containing the return value, Approximate match (TRUE) or Exact match (FALSE)).</t>
    </r>
  </si>
  <si>
    <t>Lookup_value: Select the cell where search values will be entered.
Table_array: The table range, including all cells in the table.
Col_index_num: The data which is being looked up. The input is the number of the column, counted from the left.
Range_lookup: TRUE if numbers (1) or FALSE if text (0).</t>
  </si>
  <si>
    <r>
      <rPr>
        <b/>
        <sz val="11"/>
        <color theme="1"/>
        <rFont val="Calibri"/>
        <family val="2"/>
        <scheme val="minor"/>
      </rPr>
      <t xml:space="preserve">RAND </t>
    </r>
    <r>
      <rPr>
        <sz val="11"/>
        <color theme="1"/>
        <rFont val="Calibri"/>
        <family val="2"/>
        <scheme val="minor"/>
      </rPr>
      <t xml:space="preserve">function is used to generate random numbers. Rand can be used to generate any random number. You can define limits, create random data sets and much more. 
To receive a random number: </t>
    </r>
    <r>
      <rPr>
        <b/>
        <sz val="11"/>
        <color theme="1"/>
        <rFont val="Calibri"/>
        <family val="2"/>
        <scheme val="minor"/>
      </rPr>
      <t xml:space="preserve">=RAND()*value | </t>
    </r>
    <r>
      <rPr>
        <sz val="11"/>
        <color theme="1"/>
        <rFont val="Calibri"/>
        <family val="2"/>
        <scheme val="minor"/>
      </rPr>
      <t>Example to generate numbers between 0 and 10: =RAND()*10</t>
    </r>
    <r>
      <rPr>
        <b/>
        <sz val="11"/>
        <color theme="1"/>
        <rFont val="Calibri"/>
        <family val="2"/>
        <scheme val="minor"/>
      </rPr>
      <t xml:space="preserve">
</t>
    </r>
    <r>
      <rPr>
        <sz val="11"/>
        <color theme="1"/>
        <rFont val="Calibri"/>
        <family val="2"/>
        <scheme val="minor"/>
      </rPr>
      <t>To receive Whole number:</t>
    </r>
    <r>
      <rPr>
        <b/>
        <sz val="11"/>
        <color theme="1"/>
        <rFont val="Calibri"/>
        <family val="2"/>
        <scheme val="minor"/>
      </rPr>
      <t xml:space="preserve"> =INT(RAND())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</si>
</sst>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2">
    <xf numFmtId="0" fontId="0" fillId="0" borderId="0"/>
    <xf numFmtId="44" fontId="11" fillId="0" borderId="0" applyFont="0" applyFill="0" applyBorder="0" applyAlignment="0" applyProtection="0"/>
  </cellStyleXfs>
  <cellXfs count="326">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1" fillId="0" borderId="45" xfId="0" applyFont="1" applyBorder="1" applyAlignment="1">
      <alignment horizontal="left" vertical="center"/>
    </xf>
    <xf numFmtId="0" fontId="1" fillId="0" borderId="2" xfId="0" applyFont="1" applyBorder="1" applyAlignment="1">
      <alignment horizontal="center"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1" fillId="12" borderId="2" xfId="0" applyFont="1" applyFill="1" applyBorder="1" applyAlignment="1">
      <alignment horizontal="center" vertical="center" wrapText="1"/>
    </xf>
    <xf numFmtId="0" fontId="0" fillId="0" borderId="2" xfId="0" applyBorder="1"/>
    <xf numFmtId="0" fontId="0" fillId="0" borderId="12" xfId="0" applyBorder="1" applyAlignment="1">
      <alignment horizontal="center" vertical="center"/>
    </xf>
    <xf numFmtId="0" fontId="0" fillId="0" borderId="36" xfId="0" applyBorder="1" applyAlignment="1">
      <alignment horizontal="center" vertical="center"/>
    </xf>
    <xf numFmtId="0" fontId="0" fillId="0" borderId="65" xfId="0" applyBorder="1" applyAlignment="1">
      <alignment horizontal="center" vertical="center"/>
    </xf>
    <xf numFmtId="0" fontId="1" fillId="6" borderId="38"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applyAlignment="1">
      <alignment horizontal="left" vertical="center" wrapText="1"/>
    </xf>
    <xf numFmtId="0" fontId="1" fillId="5" borderId="2" xfId="0" applyFont="1" applyFill="1" applyBorder="1" applyAlignment="1">
      <alignment horizontal="center" vertical="center" wrapText="1"/>
    </xf>
    <xf numFmtId="0" fontId="0" fillId="0" borderId="67" xfId="0" applyBorder="1" applyAlignment="1">
      <alignment horizontal="left" vertical="center"/>
    </xf>
    <xf numFmtId="0" fontId="0" fillId="0" borderId="66" xfId="0" applyBorder="1" applyAlignment="1">
      <alignment horizontal="left"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68" xfId="0" applyBorder="1" applyAlignment="1">
      <alignment horizontal="center" vertical="center"/>
    </xf>
    <xf numFmtId="0" fontId="1" fillId="6" borderId="3" xfId="0" applyFont="1" applyFill="1" applyBorder="1" applyAlignment="1">
      <alignment horizontal="center" vertical="center" wrapText="1"/>
    </xf>
    <xf numFmtId="0" fontId="0" fillId="0" borderId="26" xfId="0" applyBorder="1" applyAlignment="1">
      <alignment horizontal="center" vertical="center"/>
    </xf>
    <xf numFmtId="0" fontId="0" fillId="6" borderId="51" xfId="0" applyFill="1" applyBorder="1" applyAlignment="1">
      <alignment wrapText="1"/>
    </xf>
    <xf numFmtId="0" fontId="0" fillId="7" borderId="2" xfId="0" applyFill="1" applyBorder="1" applyAlignment="1">
      <alignment horizontal="center" vertical="center" wrapText="1"/>
    </xf>
    <xf numFmtId="0" fontId="0" fillId="0" borderId="2" xfId="0" applyBorder="1" applyAlignment="1">
      <alignment horizontal="center" vertical="center"/>
    </xf>
    <xf numFmtId="0" fontId="0" fillId="7" borderId="51" xfId="0" applyFill="1" applyBorder="1" applyAlignment="1">
      <alignment horizontal="center" vertical="center" wrapText="1"/>
    </xf>
    <xf numFmtId="0" fontId="0" fillId="0" borderId="51" xfId="0" applyBorder="1" applyAlignment="1">
      <alignment horizontal="center" vertical="center" wrapText="1"/>
    </xf>
    <xf numFmtId="0" fontId="0" fillId="0" borderId="19" xfId="0" applyBorder="1" applyAlignment="1">
      <alignment horizontal="center" vertical="center"/>
    </xf>
    <xf numFmtId="0" fontId="0" fillId="0" borderId="37"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47" xfId="0" applyBorder="1" applyAlignment="1">
      <alignment horizontal="center" vertical="center"/>
    </xf>
    <xf numFmtId="0" fontId="1" fillId="7" borderId="20" xfId="0" applyFont="1" applyFill="1" applyBorder="1" applyAlignment="1">
      <alignment horizontal="center" vertical="center"/>
    </xf>
    <xf numFmtId="0" fontId="0" fillId="0" borderId="3" xfId="0" applyBorder="1" applyAlignment="1">
      <alignment horizontal="center" vertical="center"/>
    </xf>
    <xf numFmtId="0" fontId="1" fillId="7" borderId="51" xfId="0" applyFont="1" applyFill="1" applyBorder="1" applyAlignment="1">
      <alignment horizontal="center" vertical="center"/>
    </xf>
    <xf numFmtId="0" fontId="0" fillId="0" borderId="1" xfId="0" applyBorder="1" applyAlignment="1">
      <alignment vertical="center"/>
    </xf>
    <xf numFmtId="0" fontId="0" fillId="0" borderId="26"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16" xfId="0" applyBorder="1" applyAlignment="1">
      <alignment vertical="center" wrapText="1"/>
    </xf>
    <xf numFmtId="0" fontId="1" fillId="6" borderId="61" xfId="0" quotePrefix="1" applyFont="1" applyFill="1" applyBorder="1" applyAlignment="1">
      <alignment horizontal="center" vertical="center"/>
    </xf>
    <xf numFmtId="0" fontId="1" fillId="0" borderId="6" xfId="0" applyFont="1" applyBorder="1" applyAlignment="1">
      <alignment horizontal="left" vertical="center"/>
    </xf>
    <xf numFmtId="0" fontId="0" fillId="6" borderId="69" xfId="0" applyFill="1" applyBorder="1"/>
    <xf numFmtId="0" fontId="0" fillId="6" borderId="26" xfId="0" applyFill="1" applyBorder="1"/>
    <xf numFmtId="0" fontId="0" fillId="6" borderId="50" xfId="0" applyFill="1" applyBorder="1"/>
    <xf numFmtId="0" fontId="0" fillId="0" borderId="71" xfId="0" applyBorder="1" applyAlignment="1">
      <alignment horizontal="left" vertical="center"/>
    </xf>
    <xf numFmtId="0" fontId="0" fillId="0" borderId="72" xfId="0" applyBorder="1" applyAlignment="1">
      <alignment horizontal="left" vertical="center"/>
    </xf>
    <xf numFmtId="0" fontId="0" fillId="0" borderId="54" xfId="0" applyBorder="1" applyAlignment="1">
      <alignment horizontal="left" vertical="center"/>
    </xf>
    <xf numFmtId="0" fontId="0" fillId="0" borderId="73" xfId="0" applyBorder="1" applyAlignment="1">
      <alignment horizontal="left" vertical="center"/>
    </xf>
    <xf numFmtId="0" fontId="1" fillId="0" borderId="71" xfId="0" applyFont="1" applyBorder="1"/>
    <xf numFmtId="0" fontId="0" fillId="0" borderId="74" xfId="0" applyBorder="1"/>
    <xf numFmtId="0" fontId="1" fillId="0" borderId="2" xfId="0" applyFont="1" applyBorder="1"/>
    <xf numFmtId="0" fontId="1" fillId="10" borderId="2" xfId="0" quotePrefix="1" applyFont="1" applyFill="1" applyBorder="1"/>
    <xf numFmtId="0" fontId="0" fillId="10" borderId="48" xfId="0" applyFill="1" applyBorder="1"/>
    <xf numFmtId="0" fontId="0" fillId="10" borderId="21" xfId="0" applyFill="1" applyBorder="1"/>
    <xf numFmtId="0" fontId="0" fillId="10" borderId="47" xfId="0" applyFill="1" applyBorder="1"/>
    <xf numFmtId="0" fontId="0" fillId="0" borderId="1" xfId="0" applyBorder="1" applyAlignment="1">
      <alignment horizontal="center"/>
    </xf>
    <xf numFmtId="0" fontId="4" fillId="7" borderId="3"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3" borderId="15" xfId="0" quotePrefix="1" applyFill="1" applyBorder="1" applyAlignment="1">
      <alignment horizontal="left"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0" fillId="0" borderId="1" xfId="0" applyBorder="1" applyAlignment="1">
      <alignment horizontal="left" vertical="center"/>
    </xf>
    <xf numFmtId="0" fontId="0" fillId="0" borderId="56" xfId="0" applyBorder="1" applyAlignment="1">
      <alignment horizontal="left" vertical="center" wrapText="1"/>
    </xf>
    <xf numFmtId="0" fontId="0" fillId="0" borderId="25" xfId="0" applyBorder="1" applyAlignment="1">
      <alignment horizontal="left" vertical="center" wrapText="1"/>
    </xf>
    <xf numFmtId="0" fontId="0" fillId="0" borderId="60" xfId="0" applyBorder="1" applyAlignment="1">
      <alignment horizontal="left" vertical="center" wrapText="1"/>
    </xf>
    <xf numFmtId="0" fontId="0" fillId="0" borderId="1" xfId="0" applyBorder="1" applyAlignment="1">
      <alignment vertical="center"/>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0" fillId="0" borderId="0" xfId="0" applyAlignment="1">
      <alignment horizontal="left" vertical="center"/>
    </xf>
    <xf numFmtId="0" fontId="1" fillId="0" borderId="0" xfId="0" applyFont="1" applyAlignment="1">
      <alignment horizontal="left" vertical="center"/>
    </xf>
    <xf numFmtId="0" fontId="0" fillId="0" borderId="0" xfId="0" applyAlignment="1">
      <alignment horizontal="center"/>
    </xf>
    <xf numFmtId="0" fontId="12" fillId="0" borderId="0" xfId="0" applyFont="1" applyAlignment="1">
      <alignment horizontal="left" vertical="center"/>
    </xf>
    <xf numFmtId="0" fontId="0" fillId="0" borderId="0" xfId="0" applyAlignment="1">
      <alignment horizontal="left" vertical="center" wrapText="1"/>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0" fillId="5" borderId="3" xfId="0" applyFill="1" applyBorder="1" applyAlignment="1">
      <alignment horizontal="center" vertical="center" wrapText="1"/>
    </xf>
    <xf numFmtId="0" fontId="0" fillId="5" borderId="5" xfId="0" applyFill="1" applyBorder="1" applyAlignment="1">
      <alignment horizontal="center" vertical="center" wrapText="1"/>
    </xf>
    <xf numFmtId="0" fontId="0" fillId="0" borderId="61" xfId="0" applyBorder="1" applyAlignment="1">
      <alignment horizontal="center" vertical="center"/>
    </xf>
    <xf numFmtId="0" fontId="0" fillId="0" borderId="59"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1" fillId="12" borderId="3"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0" fillId="0" borderId="3" xfId="0" applyBorder="1" applyAlignment="1">
      <alignment horizontal="center"/>
    </xf>
    <xf numFmtId="0" fontId="0" fillId="0" borderId="5" xfId="0" applyBorder="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0" borderId="5" xfId="0" applyFont="1" applyFill="1" applyBorder="1" applyAlignment="1">
      <alignment horizontal="center"/>
    </xf>
    <xf numFmtId="0" fontId="1" fillId="10" borderId="3" xfId="0" applyFont="1" applyFill="1" applyBorder="1" applyAlignment="1">
      <alignment horizontal="center"/>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4" fillId="0" borderId="0" xfId="0" applyFont="1" applyAlignment="1">
      <alignment horizontal="center"/>
    </xf>
    <xf numFmtId="0" fontId="1" fillId="0" borderId="5" xfId="0" applyFont="1" applyBorder="1" applyAlignment="1">
      <alignment horizontal="center" vertical="center"/>
    </xf>
    <xf numFmtId="0" fontId="0" fillId="0" borderId="0" xfId="0" applyBorder="1" applyAlignment="1">
      <alignment horizontal="center" vertical="center"/>
    </xf>
    <xf numFmtId="0" fontId="0" fillId="0" borderId="0" xfId="0" applyBorder="1"/>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CCFF"/>
      <color rgb="FFFFFFCC"/>
      <color rgb="FF99FF99"/>
      <color rgb="FF99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10</xdr:row>
      <xdr:rowOff>86789</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114019</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69402</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26</xdr:row>
      <xdr:rowOff>57980</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123507</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190499</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36</xdr:row>
      <xdr:rowOff>149087</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130709</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46</xdr:row>
      <xdr:rowOff>33130</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39" t="s">
        <v>0</v>
      </c>
      <c r="C2" s="239"/>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O135"/>
  <sheetViews>
    <sheetView tabSelected="1" topLeftCell="A66" zoomScale="115" zoomScaleNormal="115" workbookViewId="0">
      <selection activeCell="B72" sqref="B72:N72"/>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240" t="s">
        <v>84</v>
      </c>
      <c r="B1" s="241"/>
      <c r="C1" s="242"/>
    </row>
    <row r="2" spans="1:14" ht="17.25" customHeight="1" x14ac:dyDescent="0.25">
      <c r="A2" s="24">
        <v>1</v>
      </c>
      <c r="B2" s="243" t="s">
        <v>71</v>
      </c>
      <c r="C2" s="244"/>
      <c r="D2" s="244"/>
      <c r="E2" s="244"/>
      <c r="F2" s="244"/>
      <c r="G2" s="244"/>
      <c r="H2" s="244"/>
      <c r="I2" s="244"/>
      <c r="J2" s="244"/>
      <c r="K2" s="244"/>
      <c r="L2" s="244"/>
      <c r="M2" s="244"/>
      <c r="N2" s="245"/>
    </row>
    <row r="3" spans="1:14" ht="15" x14ac:dyDescent="0.25">
      <c r="A3" s="25">
        <v>2</v>
      </c>
      <c r="B3" s="246" t="s">
        <v>68</v>
      </c>
      <c r="C3" s="247"/>
      <c r="D3" s="247"/>
      <c r="E3" s="247"/>
      <c r="F3" s="247"/>
      <c r="G3" s="247"/>
      <c r="H3" s="247"/>
      <c r="I3" s="247"/>
      <c r="J3" s="247"/>
      <c r="K3" s="247"/>
      <c r="L3" s="247"/>
      <c r="M3" s="247"/>
      <c r="N3" s="248"/>
    </row>
    <row r="4" spans="1:14" ht="15" x14ac:dyDescent="0.25">
      <c r="A4" s="25">
        <v>3</v>
      </c>
      <c r="B4" s="246" t="s">
        <v>69</v>
      </c>
      <c r="C4" s="247"/>
      <c r="D4" s="247"/>
      <c r="E4" s="247"/>
      <c r="F4" s="247"/>
      <c r="G4" s="247"/>
      <c r="H4" s="247"/>
      <c r="I4" s="247"/>
      <c r="J4" s="247"/>
      <c r="K4" s="247"/>
      <c r="L4" s="247"/>
      <c r="M4" s="247"/>
      <c r="N4" s="248"/>
    </row>
    <row r="5" spans="1:14" ht="21" customHeight="1" x14ac:dyDescent="0.25">
      <c r="A5" s="25">
        <v>4</v>
      </c>
      <c r="B5" s="249" t="s">
        <v>67</v>
      </c>
      <c r="C5" s="250"/>
      <c r="D5" s="250"/>
      <c r="E5" s="250"/>
      <c r="F5" s="250"/>
      <c r="G5" s="250"/>
      <c r="H5" s="250"/>
      <c r="I5" s="250"/>
      <c r="J5" s="250"/>
      <c r="K5" s="250"/>
      <c r="L5" s="250"/>
      <c r="M5" s="250"/>
      <c r="N5" s="251"/>
    </row>
    <row r="6" spans="1:14" ht="9" customHeight="1" x14ac:dyDescent="0.25">
      <c r="A6" s="25"/>
      <c r="B6" s="17"/>
      <c r="C6" s="18"/>
      <c r="D6" s="18"/>
      <c r="E6" s="18"/>
      <c r="F6" s="18"/>
      <c r="G6" s="18"/>
      <c r="H6" s="18"/>
      <c r="I6" s="18"/>
      <c r="J6" s="18"/>
      <c r="K6" s="18"/>
      <c r="L6" s="18"/>
      <c r="M6" s="18"/>
      <c r="N6" s="222"/>
    </row>
    <row r="7" spans="1:14" ht="20.25" customHeight="1" thickBot="1" x14ac:dyDescent="0.3">
      <c r="A7" s="25">
        <v>5</v>
      </c>
      <c r="B7" s="252" t="s">
        <v>70</v>
      </c>
      <c r="C7" s="253"/>
      <c r="D7" s="254"/>
      <c r="E7" s="253"/>
      <c r="F7" s="253"/>
      <c r="G7" s="253"/>
      <c r="H7" s="253"/>
      <c r="I7" s="253"/>
      <c r="J7" s="253"/>
      <c r="K7" s="253"/>
      <c r="L7" s="253"/>
      <c r="M7" s="253"/>
      <c r="N7" s="255"/>
    </row>
    <row r="8" spans="1:14" ht="17.25" customHeight="1" thickBot="1" x14ac:dyDescent="0.3">
      <c r="A8" s="25">
        <v>6</v>
      </c>
      <c r="B8" s="19" t="s">
        <v>90</v>
      </c>
      <c r="C8" s="21" t="s">
        <v>72</v>
      </c>
      <c r="D8" s="23">
        <f>1+1</f>
        <v>2</v>
      </c>
      <c r="E8" s="258" t="s">
        <v>73</v>
      </c>
      <c r="F8" s="264"/>
      <c r="G8" s="258"/>
      <c r="H8" s="258"/>
      <c r="I8" s="258"/>
      <c r="J8" s="258"/>
      <c r="K8" s="258"/>
      <c r="L8" s="258"/>
      <c r="M8" s="258"/>
      <c r="N8" s="259"/>
    </row>
    <row r="9" spans="1:14" ht="17.25" customHeight="1" thickBot="1" x14ac:dyDescent="0.3">
      <c r="A9" s="25">
        <v>7</v>
      </c>
      <c r="B9" s="17" t="s">
        <v>91</v>
      </c>
      <c r="C9" s="18" t="s">
        <v>74</v>
      </c>
      <c r="D9" s="22">
        <v>100</v>
      </c>
      <c r="E9" s="20">
        <v>25</v>
      </c>
      <c r="F9" s="23">
        <f>D9-E9</f>
        <v>75</v>
      </c>
      <c r="G9" s="258" t="s">
        <v>75</v>
      </c>
      <c r="H9" s="258"/>
      <c r="I9" s="258"/>
      <c r="J9" s="258"/>
      <c r="K9" s="258"/>
      <c r="L9" s="258"/>
      <c r="M9" s="258"/>
      <c r="N9" s="259"/>
    </row>
    <row r="10" spans="1:14" ht="17.25" customHeight="1" x14ac:dyDescent="0.25">
      <c r="A10" s="25">
        <v>8</v>
      </c>
      <c r="B10" s="249" t="s">
        <v>76</v>
      </c>
      <c r="C10" s="250"/>
      <c r="D10" s="250"/>
      <c r="E10" s="250"/>
      <c r="F10" s="271"/>
      <c r="G10" s="250"/>
      <c r="H10" s="250"/>
      <c r="I10" s="250"/>
      <c r="J10" s="250"/>
      <c r="K10" s="250"/>
      <c r="L10" s="250"/>
      <c r="M10" s="250"/>
      <c r="N10" s="251"/>
    </row>
    <row r="11" spans="1:14" ht="27.75" customHeight="1" x14ac:dyDescent="0.25">
      <c r="A11" s="25"/>
      <c r="B11" s="265" t="s">
        <v>87</v>
      </c>
      <c r="C11" s="266"/>
      <c r="D11" s="266"/>
      <c r="E11" s="266"/>
      <c r="F11" s="266"/>
      <c r="G11" s="266"/>
      <c r="H11" s="266"/>
      <c r="I11" s="266"/>
      <c r="J11" s="266"/>
      <c r="K11" s="266"/>
      <c r="L11" s="266"/>
      <c r="M11" s="266"/>
      <c r="N11" s="267"/>
    </row>
    <row r="12" spans="1:14" ht="9.75" customHeight="1" x14ac:dyDescent="0.25">
      <c r="A12" s="204"/>
      <c r="B12" s="18"/>
      <c r="C12" s="18"/>
      <c r="D12" s="18"/>
      <c r="E12" s="18"/>
      <c r="F12" s="18"/>
      <c r="G12" s="18"/>
      <c r="H12" s="18"/>
      <c r="I12" s="18"/>
      <c r="J12" s="18"/>
      <c r="K12" s="18"/>
      <c r="L12" s="18"/>
      <c r="M12" s="18"/>
      <c r="N12" s="18"/>
    </row>
    <row r="13" spans="1:14" ht="17.25" customHeight="1" x14ac:dyDescent="0.25">
      <c r="A13" s="25">
        <v>9</v>
      </c>
      <c r="B13" s="246" t="s">
        <v>77</v>
      </c>
      <c r="C13" s="247"/>
      <c r="D13" s="247"/>
      <c r="E13" s="247"/>
      <c r="F13" s="247"/>
      <c r="G13" s="247"/>
      <c r="H13" s="247"/>
      <c r="I13" s="247"/>
      <c r="J13" s="247"/>
      <c r="K13" s="247"/>
      <c r="L13" s="247"/>
      <c r="M13" s="247"/>
      <c r="N13" s="248"/>
    </row>
    <row r="14" spans="1:14" ht="17.25" customHeight="1" x14ac:dyDescent="0.25">
      <c r="A14" s="25">
        <v>10</v>
      </c>
      <c r="B14" s="246" t="s">
        <v>78</v>
      </c>
      <c r="C14" s="247"/>
      <c r="D14" s="247"/>
      <c r="E14" s="247"/>
      <c r="F14" s="247"/>
      <c r="G14" s="247"/>
      <c r="H14" s="247"/>
      <c r="I14" s="247"/>
      <c r="J14" s="247"/>
      <c r="K14" s="247"/>
      <c r="L14" s="247"/>
      <c r="M14" s="247"/>
      <c r="N14" s="248"/>
    </row>
    <row r="15" spans="1:14" ht="17.25" customHeight="1" x14ac:dyDescent="0.25">
      <c r="A15" s="25">
        <v>11</v>
      </c>
      <c r="B15" s="246" t="s">
        <v>79</v>
      </c>
      <c r="C15" s="247"/>
      <c r="D15" s="247"/>
      <c r="E15" s="247"/>
      <c r="F15" s="247"/>
      <c r="G15" s="247"/>
      <c r="H15" s="247"/>
      <c r="I15" s="247"/>
      <c r="J15" s="247"/>
      <c r="K15" s="247"/>
      <c r="L15" s="247"/>
      <c r="M15" s="247"/>
      <c r="N15" s="248"/>
    </row>
    <row r="16" spans="1:14" ht="47.25" customHeight="1" x14ac:dyDescent="0.25">
      <c r="A16" s="25">
        <v>12</v>
      </c>
      <c r="B16" s="246" t="s">
        <v>83</v>
      </c>
      <c r="C16" s="247"/>
      <c r="D16" s="247"/>
      <c r="E16" s="247"/>
      <c r="F16" s="247"/>
      <c r="G16" s="247"/>
      <c r="H16" s="247"/>
      <c r="I16" s="247"/>
      <c r="J16" s="247"/>
      <c r="K16" s="247"/>
      <c r="L16" s="247"/>
      <c r="M16" s="247"/>
      <c r="N16" s="248"/>
    </row>
    <row r="17" spans="1:14" ht="9.75" customHeight="1" x14ac:dyDescent="0.25">
      <c r="A17" s="204"/>
      <c r="B17" s="18"/>
      <c r="C17" s="18"/>
      <c r="D17" s="18"/>
      <c r="E17" s="18"/>
      <c r="F17" s="18"/>
      <c r="G17" s="18"/>
      <c r="H17" s="18"/>
      <c r="I17" s="18"/>
      <c r="J17" s="18"/>
      <c r="K17" s="18"/>
      <c r="L17" s="18"/>
      <c r="M17" s="18"/>
      <c r="N17" s="18"/>
    </row>
    <row r="18" spans="1:14" ht="17.25" customHeight="1" x14ac:dyDescent="0.25">
      <c r="A18" s="25">
        <v>13</v>
      </c>
      <c r="B18" s="268" t="s">
        <v>81</v>
      </c>
      <c r="C18" s="269"/>
      <c r="D18" s="269"/>
      <c r="E18" s="269"/>
      <c r="F18" s="269"/>
      <c r="G18" s="269"/>
      <c r="H18" s="269"/>
      <c r="I18" s="269"/>
      <c r="J18" s="269"/>
      <c r="K18" s="269"/>
      <c r="L18" s="269"/>
      <c r="M18" s="269"/>
      <c r="N18" s="270"/>
    </row>
    <row r="19" spans="1:14" ht="20.25" customHeight="1" x14ac:dyDescent="0.25">
      <c r="A19" s="25">
        <v>14</v>
      </c>
      <c r="B19" s="249" t="s">
        <v>80</v>
      </c>
      <c r="C19" s="250"/>
      <c r="D19" s="250"/>
      <c r="E19" s="250"/>
      <c r="F19" s="250"/>
      <c r="G19" s="250"/>
      <c r="H19" s="250"/>
      <c r="I19" s="250"/>
      <c r="J19" s="250"/>
      <c r="K19" s="250"/>
      <c r="L19" s="250"/>
      <c r="M19" s="250"/>
      <c r="N19" s="251"/>
    </row>
    <row r="20" spans="1:14" ht="17.25" customHeight="1" x14ac:dyDescent="0.25">
      <c r="A20" s="25">
        <v>15</v>
      </c>
      <c r="B20" s="246" t="s">
        <v>82</v>
      </c>
      <c r="C20" s="247"/>
      <c r="D20" s="247"/>
      <c r="E20" s="247"/>
      <c r="F20" s="247"/>
      <c r="G20" s="247"/>
      <c r="H20" s="247"/>
      <c r="I20" s="247"/>
      <c r="J20" s="247"/>
      <c r="K20" s="247"/>
      <c r="L20" s="247"/>
      <c r="M20" s="247"/>
      <c r="N20" s="248"/>
    </row>
    <row r="21" spans="1:14" ht="17.25" customHeight="1" x14ac:dyDescent="0.25">
      <c r="A21" s="25">
        <v>16</v>
      </c>
      <c r="B21" s="246" t="s">
        <v>85</v>
      </c>
      <c r="C21" s="247"/>
      <c r="D21" s="247"/>
      <c r="E21" s="247"/>
      <c r="F21" s="247"/>
      <c r="G21" s="247"/>
      <c r="H21" s="247"/>
      <c r="I21" s="247"/>
      <c r="J21" s="247"/>
      <c r="K21" s="247"/>
      <c r="L21" s="247"/>
      <c r="M21" s="247"/>
      <c r="N21" s="248"/>
    </row>
    <row r="22" spans="1:14" ht="17.25" customHeight="1" x14ac:dyDescent="0.25">
      <c r="A22" s="25">
        <v>17</v>
      </c>
      <c r="B22" s="246" t="s">
        <v>86</v>
      </c>
      <c r="C22" s="247"/>
      <c r="D22" s="247"/>
      <c r="E22" s="247"/>
      <c r="F22" s="247"/>
      <c r="G22" s="247"/>
      <c r="H22" s="247"/>
      <c r="I22" s="247"/>
      <c r="J22" s="247"/>
      <c r="K22" s="247"/>
      <c r="L22" s="247"/>
      <c r="M22" s="247"/>
      <c r="N22" s="248"/>
    </row>
    <row r="23" spans="1:14" ht="9" customHeight="1" x14ac:dyDescent="0.25">
      <c r="A23" s="204"/>
      <c r="B23" s="18"/>
      <c r="C23" s="18"/>
      <c r="D23" s="18"/>
      <c r="E23" s="18"/>
      <c r="F23" s="18"/>
      <c r="G23" s="18"/>
      <c r="H23" s="18"/>
      <c r="I23" s="18"/>
      <c r="J23" s="18"/>
      <c r="K23" s="18"/>
      <c r="L23" s="18"/>
      <c r="M23" s="18"/>
      <c r="N23" s="18"/>
    </row>
    <row r="24" spans="1:14" ht="17.25" customHeight="1" x14ac:dyDescent="0.25">
      <c r="A24" s="25">
        <v>18</v>
      </c>
      <c r="B24" s="246" t="s">
        <v>88</v>
      </c>
      <c r="C24" s="247"/>
      <c r="D24" s="247"/>
      <c r="E24" s="247"/>
      <c r="F24" s="247"/>
      <c r="G24" s="247"/>
      <c r="H24" s="247"/>
      <c r="I24" s="247"/>
      <c r="J24" s="247"/>
      <c r="K24" s="247"/>
      <c r="L24" s="247"/>
      <c r="M24" s="247"/>
      <c r="N24" s="248"/>
    </row>
    <row r="25" spans="1:14" ht="28.5" customHeight="1" x14ac:dyDescent="0.25">
      <c r="A25" s="25">
        <v>19</v>
      </c>
      <c r="B25" s="246" t="s">
        <v>94</v>
      </c>
      <c r="C25" s="247"/>
      <c r="D25" s="247"/>
      <c r="E25" s="247"/>
      <c r="F25" s="247"/>
      <c r="G25" s="247"/>
      <c r="H25" s="247"/>
      <c r="I25" s="247"/>
      <c r="J25" s="247"/>
      <c r="K25" s="247"/>
      <c r="L25" s="247"/>
      <c r="M25" s="247"/>
      <c r="N25" s="248"/>
    </row>
    <row r="26" spans="1:14" ht="63.75" customHeight="1" x14ac:dyDescent="0.25">
      <c r="A26" s="25">
        <v>20</v>
      </c>
      <c r="B26" s="246" t="s">
        <v>89</v>
      </c>
      <c r="C26" s="247"/>
      <c r="D26" s="247"/>
      <c r="E26" s="247"/>
      <c r="F26" s="247"/>
      <c r="G26" s="247"/>
      <c r="H26" s="247"/>
      <c r="I26" s="247"/>
      <c r="J26" s="247"/>
      <c r="K26" s="247"/>
      <c r="L26" s="247"/>
      <c r="M26" s="247"/>
      <c r="N26" s="248"/>
    </row>
    <row r="27" spans="1:14" ht="9" customHeight="1" x14ac:dyDescent="0.25">
      <c r="A27" s="204"/>
      <c r="B27" s="18"/>
      <c r="C27" s="18"/>
      <c r="D27" s="18"/>
      <c r="E27" s="18"/>
      <c r="F27" s="18"/>
      <c r="G27" s="18"/>
      <c r="H27" s="18"/>
      <c r="I27" s="18"/>
      <c r="J27" s="18"/>
      <c r="K27" s="18"/>
      <c r="L27" s="18"/>
      <c r="M27" s="18"/>
      <c r="N27" s="18"/>
    </row>
    <row r="28" spans="1:14" ht="17.25" customHeight="1" x14ac:dyDescent="0.25">
      <c r="A28" s="26">
        <v>21</v>
      </c>
      <c r="B28" s="246" t="s">
        <v>93</v>
      </c>
      <c r="C28" s="247"/>
      <c r="D28" s="247"/>
      <c r="E28" s="247"/>
      <c r="F28" s="247"/>
      <c r="G28" s="247"/>
      <c r="H28" s="247"/>
      <c r="I28" s="247"/>
      <c r="J28" s="247"/>
      <c r="K28" s="247"/>
      <c r="L28" s="247"/>
      <c r="M28" s="247"/>
      <c r="N28" s="248"/>
    </row>
    <row r="29" spans="1:14" ht="27.75" customHeight="1" x14ac:dyDescent="0.25">
      <c r="A29" s="25">
        <v>22</v>
      </c>
      <c r="B29" s="246" t="s">
        <v>92</v>
      </c>
      <c r="C29" s="247"/>
      <c r="D29" s="247"/>
      <c r="E29" s="247"/>
      <c r="F29" s="247"/>
      <c r="G29" s="247"/>
      <c r="H29" s="247"/>
      <c r="I29" s="247"/>
      <c r="J29" s="247"/>
      <c r="K29" s="247"/>
      <c r="L29" s="247"/>
      <c r="M29" s="247"/>
      <c r="N29" s="248"/>
    </row>
    <row r="30" spans="1:14" ht="8.25" customHeight="1" x14ac:dyDescent="0.25">
      <c r="A30" s="25"/>
      <c r="B30" s="219"/>
      <c r="C30" s="220"/>
      <c r="D30" s="220"/>
      <c r="E30" s="220"/>
      <c r="F30" s="220"/>
      <c r="G30" s="220"/>
      <c r="H30" s="220"/>
      <c r="I30" s="220"/>
      <c r="J30" s="220"/>
      <c r="K30" s="220"/>
      <c r="L30" s="220"/>
      <c r="M30" s="220"/>
      <c r="N30" s="221"/>
    </row>
    <row r="31" spans="1:14" ht="28.5" customHeight="1" x14ac:dyDescent="0.25">
      <c r="A31" s="25">
        <v>23</v>
      </c>
      <c r="B31" s="246" t="s">
        <v>96</v>
      </c>
      <c r="C31" s="247"/>
      <c r="D31" s="247"/>
      <c r="E31" s="247"/>
      <c r="F31" s="247"/>
      <c r="G31" s="247"/>
      <c r="H31" s="247"/>
      <c r="I31" s="247"/>
      <c r="J31" s="247"/>
      <c r="K31" s="247"/>
      <c r="L31" s="247"/>
      <c r="M31" s="247"/>
      <c r="N31" s="248"/>
    </row>
    <row r="32" spans="1:14" ht="17.25" customHeight="1" x14ac:dyDescent="0.25">
      <c r="A32" s="25">
        <v>24</v>
      </c>
      <c r="B32" s="246" t="s">
        <v>97</v>
      </c>
      <c r="C32" s="247"/>
      <c r="D32" s="247"/>
      <c r="E32" s="247"/>
      <c r="F32" s="247"/>
      <c r="G32" s="247"/>
      <c r="H32" s="247"/>
      <c r="I32" s="247"/>
      <c r="J32" s="247"/>
      <c r="K32" s="247"/>
      <c r="L32" s="247"/>
      <c r="M32" s="247"/>
      <c r="N32" s="248"/>
    </row>
    <row r="33" spans="1:14" ht="9.75" customHeight="1" x14ac:dyDescent="0.25">
      <c r="A33" s="204"/>
      <c r="B33" s="18"/>
      <c r="C33" s="18"/>
      <c r="D33" s="18"/>
      <c r="E33" s="18"/>
      <c r="F33" s="18"/>
      <c r="G33" s="18"/>
      <c r="H33" s="18"/>
      <c r="I33" s="18"/>
      <c r="J33" s="18"/>
      <c r="K33" s="18"/>
      <c r="L33" s="18"/>
      <c r="M33" s="18"/>
      <c r="N33" s="18"/>
    </row>
    <row r="34" spans="1:14" ht="17.25" customHeight="1" x14ac:dyDescent="0.25">
      <c r="A34" s="25">
        <v>25</v>
      </c>
      <c r="B34" s="252" t="s">
        <v>98</v>
      </c>
      <c r="C34" s="247"/>
      <c r="D34" s="247"/>
      <c r="E34" s="247"/>
      <c r="F34" s="247"/>
      <c r="G34" s="247"/>
      <c r="H34" s="247"/>
      <c r="I34" s="247"/>
      <c r="J34" s="247"/>
      <c r="K34" s="247"/>
      <c r="L34" s="247"/>
      <c r="M34" s="247"/>
      <c r="N34" s="248"/>
    </row>
    <row r="35" spans="1:14" ht="17.25" customHeight="1" x14ac:dyDescent="0.25">
      <c r="A35" s="25">
        <v>26</v>
      </c>
      <c r="B35" s="246" t="s">
        <v>99</v>
      </c>
      <c r="C35" s="247"/>
      <c r="D35" s="247"/>
      <c r="E35" s="247"/>
      <c r="F35" s="247"/>
      <c r="G35" s="247"/>
      <c r="H35" s="247"/>
      <c r="I35" s="247"/>
      <c r="J35" s="247"/>
      <c r="K35" s="247"/>
      <c r="L35" s="247"/>
      <c r="M35" s="247"/>
      <c r="N35" s="248"/>
    </row>
    <row r="36" spans="1:14" ht="45.75" customHeight="1" x14ac:dyDescent="0.25">
      <c r="A36" s="25">
        <v>27</v>
      </c>
      <c r="B36" s="246" t="s">
        <v>100</v>
      </c>
      <c r="C36" s="247"/>
      <c r="D36" s="247"/>
      <c r="E36" s="247"/>
      <c r="F36" s="247"/>
      <c r="G36" s="247"/>
      <c r="H36" s="247"/>
      <c r="I36" s="247"/>
      <c r="J36" s="247"/>
      <c r="K36" s="247"/>
      <c r="L36" s="247"/>
      <c r="M36" s="247"/>
      <c r="N36" s="248"/>
    </row>
    <row r="37" spans="1:14" ht="17.25" customHeight="1" x14ac:dyDescent="0.25">
      <c r="A37" s="25">
        <v>28</v>
      </c>
      <c r="B37" s="246" t="s">
        <v>101</v>
      </c>
      <c r="C37" s="247"/>
      <c r="D37" s="247"/>
      <c r="E37" s="247"/>
      <c r="F37" s="247"/>
      <c r="G37" s="247"/>
      <c r="H37" s="247"/>
      <c r="I37" s="247"/>
      <c r="J37" s="247"/>
      <c r="K37" s="247"/>
      <c r="L37" s="247"/>
      <c r="M37" s="247"/>
      <c r="N37" s="248"/>
    </row>
    <row r="38" spans="1:14" ht="42.75" customHeight="1" x14ac:dyDescent="0.25">
      <c r="A38" s="25">
        <v>29</v>
      </c>
      <c r="B38" s="249" t="s">
        <v>102</v>
      </c>
      <c r="C38" s="250"/>
      <c r="D38" s="250"/>
      <c r="E38" s="250"/>
      <c r="F38" s="250"/>
      <c r="G38" s="250"/>
      <c r="H38" s="250"/>
      <c r="I38" s="250"/>
      <c r="J38" s="250"/>
      <c r="K38" s="250"/>
      <c r="L38" s="250"/>
      <c r="M38" s="250"/>
      <c r="N38" s="251"/>
    </row>
    <row r="39" spans="1:14" ht="78" customHeight="1" x14ac:dyDescent="0.25">
      <c r="A39" s="25">
        <v>30</v>
      </c>
      <c r="B39" s="246" t="s">
        <v>103</v>
      </c>
      <c r="C39" s="247"/>
      <c r="D39" s="247"/>
      <c r="E39" s="247"/>
      <c r="F39" s="247"/>
      <c r="G39" s="247"/>
      <c r="H39" s="247"/>
      <c r="I39" s="247"/>
      <c r="J39" s="247"/>
      <c r="K39" s="247"/>
      <c r="L39" s="247"/>
      <c r="M39" s="247"/>
      <c r="N39" s="248"/>
    </row>
    <row r="40" spans="1:14" ht="9" customHeight="1" x14ac:dyDescent="0.25">
      <c r="A40" s="204"/>
      <c r="B40" s="18"/>
      <c r="C40" s="18"/>
      <c r="D40" s="18"/>
      <c r="E40" s="18"/>
      <c r="F40" s="18"/>
      <c r="G40" s="18"/>
      <c r="H40" s="18"/>
      <c r="I40" s="18"/>
      <c r="J40" s="18"/>
      <c r="K40" s="18"/>
      <c r="L40" s="18"/>
      <c r="M40" s="18"/>
      <c r="N40" s="18"/>
    </row>
    <row r="41" spans="1:14" ht="29.25" customHeight="1" x14ac:dyDescent="0.25">
      <c r="A41" s="25">
        <v>31</v>
      </c>
      <c r="B41" s="257" t="s">
        <v>114</v>
      </c>
      <c r="C41" s="258"/>
      <c r="D41" s="258"/>
      <c r="E41" s="258"/>
      <c r="F41" s="258"/>
      <c r="G41" s="258"/>
      <c r="H41" s="258"/>
      <c r="I41" s="258"/>
      <c r="J41" s="258"/>
      <c r="K41" s="258"/>
      <c r="L41" s="258"/>
      <c r="M41" s="258"/>
      <c r="N41" s="259"/>
    </row>
    <row r="42" spans="1:14" ht="28.5" customHeight="1" x14ac:dyDescent="0.25">
      <c r="A42" s="25">
        <v>32</v>
      </c>
      <c r="B42" s="257" t="s">
        <v>115</v>
      </c>
      <c r="C42" s="258"/>
      <c r="D42" s="258"/>
      <c r="E42" s="258"/>
      <c r="F42" s="258"/>
      <c r="G42" s="258"/>
      <c r="H42" s="258"/>
      <c r="I42" s="258"/>
      <c r="J42" s="258"/>
      <c r="K42" s="258"/>
      <c r="L42" s="258"/>
      <c r="M42" s="258"/>
      <c r="N42" s="259"/>
    </row>
    <row r="43" spans="1:14" ht="17.25" customHeight="1" x14ac:dyDescent="0.25">
      <c r="A43" s="25">
        <v>33</v>
      </c>
      <c r="B43" s="260" t="s">
        <v>160</v>
      </c>
      <c r="C43" s="247"/>
      <c r="D43" s="247"/>
      <c r="E43" s="247"/>
      <c r="F43" s="247"/>
      <c r="G43" s="247"/>
      <c r="H43" s="247"/>
      <c r="I43" s="247"/>
      <c r="J43" s="247"/>
      <c r="K43" s="247"/>
      <c r="L43" s="247"/>
      <c r="M43" s="247"/>
      <c r="N43" s="248"/>
    </row>
    <row r="44" spans="1:14" ht="29.25" customHeight="1" x14ac:dyDescent="0.25">
      <c r="A44" s="25">
        <v>34</v>
      </c>
      <c r="B44" s="246" t="s">
        <v>193</v>
      </c>
      <c r="C44" s="247"/>
      <c r="D44" s="247"/>
      <c r="E44" s="247"/>
      <c r="F44" s="247"/>
      <c r="G44" s="247"/>
      <c r="H44" s="247"/>
      <c r="I44" s="247"/>
      <c r="J44" s="247"/>
      <c r="K44" s="247"/>
      <c r="L44" s="247"/>
      <c r="M44" s="247"/>
      <c r="N44" s="248"/>
    </row>
    <row r="45" spans="1:14" ht="17.25" customHeight="1" x14ac:dyDescent="0.25">
      <c r="A45" s="25">
        <v>35</v>
      </c>
      <c r="B45" s="246" t="s">
        <v>197</v>
      </c>
      <c r="C45" s="247"/>
      <c r="D45" s="247"/>
      <c r="E45" s="247"/>
      <c r="F45" s="247"/>
      <c r="G45" s="247"/>
      <c r="H45" s="247"/>
      <c r="I45" s="247"/>
      <c r="J45" s="247"/>
      <c r="K45" s="247"/>
      <c r="L45" s="247"/>
      <c r="M45" s="247"/>
      <c r="N45" s="248"/>
    </row>
    <row r="46" spans="1:14" ht="17.25" customHeight="1" x14ac:dyDescent="0.25">
      <c r="A46" s="25">
        <v>36</v>
      </c>
      <c r="B46" s="249" t="s">
        <v>202</v>
      </c>
      <c r="C46" s="250"/>
      <c r="D46" s="250"/>
      <c r="E46" s="250"/>
      <c r="F46" s="250"/>
      <c r="G46" s="250"/>
      <c r="H46" s="250"/>
      <c r="I46" s="250"/>
      <c r="J46" s="250"/>
      <c r="K46" s="250"/>
      <c r="L46" s="250"/>
      <c r="M46" s="250"/>
      <c r="N46" s="251"/>
    </row>
    <row r="47" spans="1:14" ht="12" customHeight="1" x14ac:dyDescent="0.25">
      <c r="A47" s="25"/>
      <c r="B47" s="246"/>
      <c r="C47" s="247"/>
      <c r="D47" s="247"/>
      <c r="E47" s="247"/>
      <c r="F47" s="247"/>
      <c r="G47" s="247"/>
      <c r="H47" s="247"/>
      <c r="I47" s="247"/>
      <c r="J47" s="247"/>
      <c r="K47" s="247"/>
      <c r="L47" s="247"/>
      <c r="M47" s="247"/>
      <c r="N47" s="248"/>
    </row>
    <row r="48" spans="1:14" ht="17.25" customHeight="1" x14ac:dyDescent="0.25">
      <c r="A48" s="25">
        <v>37</v>
      </c>
      <c r="B48" s="246" t="s">
        <v>206</v>
      </c>
      <c r="C48" s="247"/>
      <c r="D48" s="247"/>
      <c r="E48" s="247"/>
      <c r="F48" s="247"/>
      <c r="G48" s="247"/>
      <c r="H48" s="247"/>
      <c r="I48" s="247"/>
      <c r="J48" s="247"/>
      <c r="K48" s="247"/>
      <c r="L48" s="247"/>
      <c r="M48" s="247"/>
      <c r="N48" s="248"/>
    </row>
    <row r="49" spans="1:14" ht="17.25" customHeight="1" x14ac:dyDescent="0.25">
      <c r="A49" s="25">
        <v>38</v>
      </c>
      <c r="B49" s="246" t="s">
        <v>236</v>
      </c>
      <c r="C49" s="247"/>
      <c r="D49" s="247"/>
      <c r="E49" s="247"/>
      <c r="F49" s="247"/>
      <c r="G49" s="247"/>
      <c r="H49" s="247"/>
      <c r="I49" s="247"/>
      <c r="J49" s="247"/>
      <c r="K49" s="247"/>
      <c r="L49" s="247"/>
      <c r="M49" s="247"/>
      <c r="N49" s="248"/>
    </row>
    <row r="50" spans="1:14" ht="9.75" customHeight="1" x14ac:dyDescent="0.25">
      <c r="A50" s="25"/>
      <c r="B50" s="261"/>
      <c r="C50" s="262"/>
      <c r="D50" s="262"/>
      <c r="E50" s="262"/>
      <c r="F50" s="262"/>
      <c r="G50" s="262"/>
      <c r="H50" s="262"/>
      <c r="I50" s="262"/>
      <c r="J50" s="262"/>
      <c r="K50" s="262"/>
      <c r="L50" s="262"/>
      <c r="M50" s="262"/>
      <c r="N50" s="263"/>
    </row>
    <row r="51" spans="1:14" ht="17.25" customHeight="1" x14ac:dyDescent="0.25">
      <c r="A51" s="25">
        <v>39</v>
      </c>
      <c r="B51" s="246" t="s">
        <v>95</v>
      </c>
      <c r="C51" s="247"/>
      <c r="D51" s="247"/>
      <c r="E51" s="247"/>
      <c r="F51" s="247"/>
      <c r="G51" s="247"/>
      <c r="H51" s="247"/>
      <c r="I51" s="247"/>
      <c r="J51" s="247"/>
      <c r="K51" s="247"/>
      <c r="L51" s="247"/>
      <c r="M51" s="247"/>
      <c r="N51" s="248"/>
    </row>
    <row r="52" spans="1:14" ht="43.5" customHeight="1" x14ac:dyDescent="0.25">
      <c r="A52" s="25">
        <v>40</v>
      </c>
      <c r="B52" s="246" t="s">
        <v>250</v>
      </c>
      <c r="C52" s="247"/>
      <c r="D52" s="247"/>
      <c r="E52" s="247"/>
      <c r="F52" s="247"/>
      <c r="G52" s="247"/>
      <c r="H52" s="247"/>
      <c r="I52" s="247"/>
      <c r="J52" s="247"/>
      <c r="K52" s="247"/>
      <c r="L52" s="247"/>
      <c r="M52" s="247"/>
      <c r="N52" s="248"/>
    </row>
    <row r="53" spans="1:14" ht="49.5" customHeight="1" x14ac:dyDescent="0.25">
      <c r="A53" s="25">
        <v>41</v>
      </c>
      <c r="B53" s="246" t="s">
        <v>251</v>
      </c>
      <c r="C53" s="247"/>
      <c r="D53" s="247"/>
      <c r="E53" s="247"/>
      <c r="F53" s="247"/>
      <c r="G53" s="247"/>
      <c r="H53" s="247"/>
      <c r="I53" s="247"/>
      <c r="J53" s="247"/>
      <c r="K53" s="247"/>
      <c r="L53" s="247"/>
      <c r="M53" s="247"/>
      <c r="N53" s="248"/>
    </row>
    <row r="54" spans="1:14" ht="27.75" customHeight="1" x14ac:dyDescent="0.25">
      <c r="A54" s="25"/>
      <c r="B54" s="257" t="s">
        <v>385</v>
      </c>
      <c r="C54" s="258"/>
      <c r="D54" s="258"/>
      <c r="E54" s="258"/>
      <c r="F54" s="258"/>
      <c r="G54" s="258"/>
      <c r="H54" s="258"/>
      <c r="I54" s="258"/>
      <c r="J54" s="258"/>
      <c r="K54" s="258"/>
      <c r="L54" s="258"/>
      <c r="M54" s="258"/>
      <c r="N54" s="259"/>
    </row>
    <row r="55" spans="1:14" ht="29.25" customHeight="1" x14ac:dyDescent="0.25">
      <c r="A55" s="25">
        <v>42</v>
      </c>
      <c r="B55" s="246" t="s">
        <v>315</v>
      </c>
      <c r="C55" s="247"/>
      <c r="D55" s="247"/>
      <c r="E55" s="247"/>
      <c r="F55" s="247"/>
      <c r="G55" s="247"/>
      <c r="H55" s="247"/>
      <c r="I55" s="247"/>
      <c r="J55" s="247"/>
      <c r="K55" s="247"/>
      <c r="L55" s="247"/>
      <c r="M55" s="247"/>
      <c r="N55" s="248"/>
    </row>
    <row r="56" spans="1:14" ht="35.25" customHeight="1" x14ac:dyDescent="0.25">
      <c r="A56" s="25">
        <v>43</v>
      </c>
      <c r="B56" s="246" t="s">
        <v>311</v>
      </c>
      <c r="C56" s="247"/>
      <c r="D56" s="247"/>
      <c r="E56" s="247"/>
      <c r="F56" s="247"/>
      <c r="G56" s="247"/>
      <c r="H56" s="247"/>
      <c r="I56" s="247"/>
      <c r="J56" s="247"/>
      <c r="K56" s="247"/>
      <c r="L56" s="247"/>
      <c r="M56" s="247"/>
      <c r="N56" s="248"/>
    </row>
    <row r="57" spans="1:14" ht="28.5" customHeight="1" x14ac:dyDescent="0.25">
      <c r="A57" s="25">
        <v>44</v>
      </c>
      <c r="B57" s="246" t="s">
        <v>314</v>
      </c>
      <c r="C57" s="247"/>
      <c r="D57" s="247"/>
      <c r="E57" s="247"/>
      <c r="F57" s="247"/>
      <c r="G57" s="247"/>
      <c r="H57" s="247"/>
      <c r="I57" s="247"/>
      <c r="J57" s="247"/>
      <c r="K57" s="247"/>
      <c r="L57" s="247"/>
      <c r="M57" s="247"/>
      <c r="N57" s="248"/>
    </row>
    <row r="58" spans="1:14" ht="48.75" customHeight="1" x14ac:dyDescent="0.25">
      <c r="A58" s="25">
        <v>45</v>
      </c>
      <c r="B58" s="246" t="s">
        <v>312</v>
      </c>
      <c r="C58" s="247"/>
      <c r="D58" s="247"/>
      <c r="E58" s="247"/>
      <c r="F58" s="247"/>
      <c r="G58" s="247"/>
      <c r="H58" s="247"/>
      <c r="I58" s="247"/>
      <c r="J58" s="247"/>
      <c r="K58" s="247"/>
      <c r="L58" s="247"/>
      <c r="M58" s="247"/>
      <c r="N58" s="248"/>
    </row>
    <row r="59" spans="1:14" ht="17.25" customHeight="1" x14ac:dyDescent="0.25">
      <c r="A59" s="25">
        <v>46</v>
      </c>
      <c r="B59" s="246" t="s">
        <v>316</v>
      </c>
      <c r="C59" s="247"/>
      <c r="D59" s="247"/>
      <c r="E59" s="247"/>
      <c r="F59" s="247"/>
      <c r="G59" s="247"/>
      <c r="H59" s="247"/>
      <c r="I59" s="247"/>
      <c r="J59" s="247"/>
      <c r="K59" s="247"/>
      <c r="L59" s="247"/>
      <c r="M59" s="247"/>
      <c r="N59" s="248"/>
    </row>
    <row r="60" spans="1:14" ht="17.25" customHeight="1" x14ac:dyDescent="0.25">
      <c r="A60" s="25">
        <v>47</v>
      </c>
      <c r="B60" s="246" t="s">
        <v>317</v>
      </c>
      <c r="C60" s="247"/>
      <c r="D60" s="247"/>
      <c r="E60" s="247"/>
      <c r="F60" s="247"/>
      <c r="G60" s="247"/>
      <c r="H60" s="247"/>
      <c r="I60" s="247"/>
      <c r="J60" s="247"/>
      <c r="K60" s="247"/>
      <c r="L60" s="247"/>
      <c r="M60" s="247"/>
      <c r="N60" s="248"/>
    </row>
    <row r="61" spans="1:14" ht="17.25" customHeight="1" x14ac:dyDescent="0.25">
      <c r="A61" s="25">
        <v>48</v>
      </c>
      <c r="B61" s="265" t="s">
        <v>318</v>
      </c>
      <c r="C61" s="266"/>
      <c r="D61" s="266"/>
      <c r="E61" s="266"/>
      <c r="F61" s="266"/>
      <c r="G61" s="266"/>
      <c r="H61" s="266"/>
      <c r="I61" s="266"/>
      <c r="J61" s="266"/>
      <c r="K61" s="266"/>
      <c r="L61" s="266"/>
      <c r="M61" s="266"/>
      <c r="N61" s="267"/>
    </row>
    <row r="62" spans="1:14" ht="17.25" customHeight="1" x14ac:dyDescent="0.25">
      <c r="A62" s="25">
        <v>49</v>
      </c>
      <c r="B62" s="257" t="s">
        <v>319</v>
      </c>
      <c r="C62" s="258"/>
      <c r="D62" s="258"/>
      <c r="E62" s="258"/>
      <c r="F62" s="258"/>
      <c r="G62" s="258"/>
      <c r="H62" s="258"/>
      <c r="I62" s="258"/>
      <c r="J62" s="258"/>
      <c r="K62" s="258"/>
      <c r="L62" s="258"/>
      <c r="M62" s="258"/>
      <c r="N62" s="259"/>
    </row>
    <row r="63" spans="1:14" ht="17.25" customHeight="1" x14ac:dyDescent="0.25">
      <c r="A63" s="25">
        <v>50</v>
      </c>
      <c r="B63" s="246" t="s">
        <v>333</v>
      </c>
      <c r="C63" s="247"/>
      <c r="D63" s="247"/>
      <c r="E63" s="247"/>
      <c r="F63" s="247"/>
      <c r="G63" s="247"/>
      <c r="H63" s="247"/>
      <c r="I63" s="247"/>
      <c r="J63" s="247"/>
      <c r="K63" s="247"/>
      <c r="L63" s="247"/>
      <c r="M63" s="247"/>
      <c r="N63" s="248"/>
    </row>
    <row r="64" spans="1:14" ht="17.25" customHeight="1" x14ac:dyDescent="0.25">
      <c r="A64" s="25">
        <v>51</v>
      </c>
      <c r="B64" s="256" t="s">
        <v>335</v>
      </c>
      <c r="C64" s="250"/>
      <c r="D64" s="250"/>
      <c r="E64" s="250"/>
      <c r="F64" s="250"/>
      <c r="G64" s="250"/>
      <c r="H64" s="250"/>
      <c r="I64" s="250"/>
      <c r="J64" s="250"/>
      <c r="K64" s="250"/>
      <c r="L64" s="250"/>
      <c r="M64" s="250"/>
      <c r="N64" s="251"/>
    </row>
    <row r="65" spans="1:14" ht="17.25" customHeight="1" x14ac:dyDescent="0.25">
      <c r="A65" s="25">
        <v>52</v>
      </c>
      <c r="B65" s="246" t="s">
        <v>336</v>
      </c>
      <c r="C65" s="247"/>
      <c r="D65" s="247"/>
      <c r="E65" s="247"/>
      <c r="F65" s="247"/>
      <c r="G65" s="247"/>
      <c r="H65" s="247"/>
      <c r="I65" s="247"/>
      <c r="J65" s="247"/>
      <c r="K65" s="247"/>
      <c r="L65" s="247"/>
      <c r="M65" s="247"/>
      <c r="N65" s="248"/>
    </row>
    <row r="66" spans="1:14" ht="17.25" customHeight="1" x14ac:dyDescent="0.25">
      <c r="A66" s="25">
        <v>53</v>
      </c>
      <c r="B66" s="246" t="s">
        <v>337</v>
      </c>
      <c r="C66" s="247"/>
      <c r="D66" s="247"/>
      <c r="E66" s="247"/>
      <c r="F66" s="247"/>
      <c r="G66" s="247"/>
      <c r="H66" s="247"/>
      <c r="I66" s="247"/>
      <c r="J66" s="247"/>
      <c r="K66" s="247"/>
      <c r="L66" s="247"/>
      <c r="M66" s="247"/>
      <c r="N66" s="248"/>
    </row>
    <row r="67" spans="1:14" ht="27.75" customHeight="1" x14ac:dyDescent="0.25">
      <c r="A67" s="25">
        <v>54</v>
      </c>
      <c r="B67" s="246" t="s">
        <v>366</v>
      </c>
      <c r="C67" s="247"/>
      <c r="D67" s="247"/>
      <c r="E67" s="247"/>
      <c r="F67" s="247"/>
      <c r="G67" s="247"/>
      <c r="H67" s="247"/>
      <c r="I67" s="247"/>
      <c r="J67" s="247"/>
      <c r="K67" s="247"/>
      <c r="L67" s="247"/>
      <c r="M67" s="247"/>
      <c r="N67" s="248"/>
    </row>
    <row r="68" spans="1:14" ht="17.25" customHeight="1" x14ac:dyDescent="0.25">
      <c r="A68" s="25">
        <v>55</v>
      </c>
      <c r="B68" s="246" t="s">
        <v>367</v>
      </c>
      <c r="C68" s="247"/>
      <c r="D68" s="247"/>
      <c r="E68" s="247"/>
      <c r="F68" s="247"/>
      <c r="G68" s="247"/>
      <c r="H68" s="247"/>
      <c r="I68" s="247"/>
      <c r="J68" s="247"/>
      <c r="K68" s="247"/>
      <c r="L68" s="247"/>
      <c r="M68" s="247"/>
      <c r="N68" s="248"/>
    </row>
    <row r="69" spans="1:14" ht="17.25" customHeight="1" x14ac:dyDescent="0.25">
      <c r="A69" s="25">
        <v>56</v>
      </c>
      <c r="B69" s="246" t="s">
        <v>368</v>
      </c>
      <c r="C69" s="247"/>
      <c r="D69" s="247"/>
      <c r="E69" s="247"/>
      <c r="F69" s="247"/>
      <c r="G69" s="247"/>
      <c r="H69" s="247"/>
      <c r="I69" s="247"/>
      <c r="J69" s="247"/>
      <c r="K69" s="247"/>
      <c r="L69" s="247"/>
      <c r="M69" s="247"/>
      <c r="N69" s="248"/>
    </row>
    <row r="70" spans="1:14" ht="17.25" customHeight="1" x14ac:dyDescent="0.25">
      <c r="A70" s="25">
        <v>57</v>
      </c>
      <c r="B70" s="246" t="s">
        <v>371</v>
      </c>
      <c r="C70" s="247"/>
      <c r="D70" s="247"/>
      <c r="E70" s="247"/>
      <c r="F70" s="247"/>
      <c r="G70" s="247"/>
      <c r="H70" s="247"/>
      <c r="I70" s="247"/>
      <c r="J70" s="247"/>
      <c r="K70" s="247"/>
      <c r="L70" s="247"/>
      <c r="M70" s="247"/>
      <c r="N70" s="248"/>
    </row>
    <row r="71" spans="1:14" ht="17.25" customHeight="1" x14ac:dyDescent="0.25">
      <c r="A71" s="25">
        <v>58</v>
      </c>
      <c r="B71" s="246" t="s">
        <v>376</v>
      </c>
      <c r="C71" s="247"/>
      <c r="D71" s="247"/>
      <c r="E71" s="247"/>
      <c r="F71" s="247"/>
      <c r="G71" s="247"/>
      <c r="H71" s="247"/>
      <c r="I71" s="247"/>
      <c r="J71" s="247"/>
      <c r="K71" s="247"/>
      <c r="L71" s="247"/>
      <c r="M71" s="247"/>
      <c r="N71" s="248"/>
    </row>
    <row r="72" spans="1:14" ht="17.25" customHeight="1" x14ac:dyDescent="0.25">
      <c r="A72" s="25">
        <v>59</v>
      </c>
      <c r="B72" s="246" t="s">
        <v>378</v>
      </c>
      <c r="C72" s="247"/>
      <c r="D72" s="247"/>
      <c r="E72" s="247"/>
      <c r="F72" s="247"/>
      <c r="G72" s="247"/>
      <c r="H72" s="247"/>
      <c r="I72" s="247"/>
      <c r="J72" s="247"/>
      <c r="K72" s="247"/>
      <c r="L72" s="247"/>
      <c r="M72" s="247"/>
      <c r="N72" s="248"/>
    </row>
    <row r="73" spans="1:14" ht="17.25" customHeight="1" x14ac:dyDescent="0.25">
      <c r="A73" s="25">
        <v>60</v>
      </c>
      <c r="B73" s="246" t="s">
        <v>377</v>
      </c>
      <c r="C73" s="247"/>
      <c r="D73" s="247"/>
      <c r="E73" s="247"/>
      <c r="F73" s="247"/>
      <c r="G73" s="247"/>
      <c r="H73" s="247"/>
      <c r="I73" s="247"/>
      <c r="J73" s="247"/>
      <c r="K73" s="247"/>
      <c r="L73" s="247"/>
      <c r="M73" s="247"/>
      <c r="N73" s="248"/>
    </row>
    <row r="74" spans="1:14" ht="17.25" customHeight="1" x14ac:dyDescent="0.25">
      <c r="A74" s="25">
        <v>61</v>
      </c>
      <c r="B74" s="273" t="s">
        <v>379</v>
      </c>
      <c r="C74" s="274"/>
      <c r="D74" s="274"/>
      <c r="E74" s="274"/>
      <c r="F74" s="274"/>
      <c r="G74" s="274"/>
      <c r="H74" s="274"/>
      <c r="I74" s="274"/>
      <c r="J74" s="274"/>
      <c r="K74" s="274"/>
      <c r="L74" s="274"/>
      <c r="M74" s="274"/>
      <c r="N74" s="275"/>
    </row>
    <row r="75" spans="1:14" ht="17.25" customHeight="1" x14ac:dyDescent="0.25">
      <c r="A75" s="25">
        <v>62</v>
      </c>
      <c r="B75" s="276" t="s">
        <v>381</v>
      </c>
      <c r="C75" s="276"/>
      <c r="D75" s="276"/>
      <c r="E75" s="276"/>
      <c r="F75" s="276"/>
      <c r="G75" s="276"/>
      <c r="H75" s="276"/>
      <c r="I75" s="276"/>
      <c r="J75" s="276"/>
      <c r="K75" s="276"/>
      <c r="L75" s="276"/>
      <c r="M75" s="276"/>
      <c r="N75" s="276"/>
    </row>
    <row r="76" spans="1:14" ht="9" customHeight="1" x14ac:dyDescent="0.25">
      <c r="A76" s="25"/>
      <c r="B76" s="218"/>
      <c r="C76" s="218"/>
      <c r="D76" s="218"/>
      <c r="E76" s="218"/>
      <c r="F76" s="218"/>
      <c r="G76" s="218"/>
      <c r="H76" s="218"/>
      <c r="I76" s="218"/>
      <c r="J76" s="218"/>
      <c r="K76" s="218"/>
      <c r="L76" s="218"/>
      <c r="M76" s="218"/>
      <c r="N76" s="218"/>
    </row>
    <row r="77" spans="1:14" ht="17.25" customHeight="1" x14ac:dyDescent="0.25">
      <c r="A77" s="25">
        <v>63</v>
      </c>
      <c r="B77" s="272" t="s">
        <v>383</v>
      </c>
      <c r="C77" s="272"/>
      <c r="D77" s="272"/>
      <c r="E77" s="272"/>
      <c r="F77" s="272"/>
      <c r="G77" s="272"/>
      <c r="H77" s="272"/>
      <c r="I77" s="272"/>
      <c r="J77" s="272"/>
      <c r="K77" s="272"/>
      <c r="L77" s="272"/>
      <c r="M77" s="272"/>
      <c r="N77" s="272"/>
    </row>
    <row r="78" spans="1:14" ht="32.25" customHeight="1" x14ac:dyDescent="0.25">
      <c r="A78" s="25">
        <v>64</v>
      </c>
      <c r="B78" s="247" t="s">
        <v>403</v>
      </c>
      <c r="C78" s="247"/>
      <c r="D78" s="247"/>
      <c r="E78" s="247"/>
      <c r="F78" s="247"/>
      <c r="G78" s="247"/>
      <c r="H78" s="247"/>
      <c r="I78" s="247"/>
      <c r="J78" s="247"/>
      <c r="K78" s="247"/>
      <c r="L78" s="247"/>
      <c r="M78" s="247"/>
      <c r="N78" s="247"/>
    </row>
    <row r="79" spans="1:14" ht="59.25" customHeight="1" x14ac:dyDescent="0.25">
      <c r="A79" s="25">
        <v>65</v>
      </c>
      <c r="B79" s="247" t="s">
        <v>404</v>
      </c>
      <c r="C79" s="272"/>
      <c r="D79" s="272"/>
      <c r="E79" s="272"/>
      <c r="F79" s="272"/>
      <c r="G79" s="272"/>
      <c r="H79" s="272"/>
      <c r="I79" s="272"/>
      <c r="J79" s="272"/>
      <c r="K79" s="272"/>
      <c r="L79" s="272"/>
      <c r="M79" s="272"/>
      <c r="N79" s="272"/>
    </row>
    <row r="80" spans="1:14" ht="57.75" customHeight="1" x14ac:dyDescent="0.25">
      <c r="A80" s="25">
        <v>66</v>
      </c>
      <c r="B80" s="247" t="s">
        <v>405</v>
      </c>
      <c r="C80" s="272"/>
      <c r="D80" s="272"/>
      <c r="E80" s="272"/>
      <c r="F80" s="272"/>
      <c r="G80" s="272"/>
      <c r="H80" s="272"/>
      <c r="I80" s="272"/>
      <c r="J80" s="272"/>
      <c r="K80" s="272"/>
      <c r="L80" s="272"/>
      <c r="M80" s="272"/>
      <c r="N80" s="272"/>
    </row>
    <row r="81" spans="1:15" ht="17.25" customHeight="1" x14ac:dyDescent="0.25">
      <c r="A81" s="25">
        <v>67</v>
      </c>
      <c r="B81" s="272"/>
      <c r="C81" s="272"/>
      <c r="D81" s="272"/>
      <c r="E81" s="272"/>
      <c r="F81" s="272"/>
      <c r="G81" s="272"/>
      <c r="H81" s="272"/>
      <c r="I81" s="272"/>
      <c r="J81" s="272"/>
      <c r="K81" s="272"/>
      <c r="L81" s="272"/>
      <c r="M81" s="272"/>
      <c r="N81" s="272"/>
    </row>
    <row r="82" spans="1:15" ht="17.25" customHeight="1" x14ac:dyDescent="0.25">
      <c r="A82" s="25">
        <v>68</v>
      </c>
      <c r="B82" s="272"/>
      <c r="C82" s="272"/>
      <c r="D82" s="272"/>
      <c r="E82" s="272"/>
      <c r="F82" s="272"/>
      <c r="G82" s="272"/>
      <c r="H82" s="272"/>
      <c r="I82" s="272"/>
      <c r="J82" s="272"/>
      <c r="K82" s="272"/>
      <c r="L82" s="272"/>
      <c r="M82" s="272"/>
      <c r="N82" s="272"/>
    </row>
    <row r="83" spans="1:15" ht="17.25" customHeight="1" thickBot="1" x14ac:dyDescent="0.3">
      <c r="A83" s="25">
        <v>69</v>
      </c>
      <c r="B83" s="272"/>
      <c r="C83" s="272"/>
      <c r="D83" s="272"/>
      <c r="E83" s="272"/>
      <c r="F83" s="272"/>
      <c r="G83" s="272"/>
      <c r="H83" s="272"/>
      <c r="I83" s="272"/>
      <c r="J83" s="272"/>
      <c r="K83" s="272"/>
      <c r="L83" s="272"/>
      <c r="M83" s="272"/>
      <c r="N83" s="272"/>
    </row>
    <row r="84" spans="1:15" ht="17.25" customHeight="1" x14ac:dyDescent="0.25">
      <c r="A84" s="25">
        <v>70</v>
      </c>
      <c r="B84" s="272"/>
      <c r="C84" s="272"/>
      <c r="D84" s="272"/>
      <c r="E84" s="272"/>
      <c r="F84" s="272"/>
      <c r="G84" s="272"/>
      <c r="H84" s="272"/>
      <c r="I84" s="272"/>
      <c r="J84" s="272"/>
      <c r="K84" s="272"/>
      <c r="L84" s="272"/>
      <c r="M84" s="272"/>
      <c r="N84" s="272"/>
      <c r="O84" s="27"/>
    </row>
    <row r="85" spans="1:15" ht="17.25" customHeight="1" x14ac:dyDescent="0.25">
      <c r="A85" s="25">
        <v>71</v>
      </c>
      <c r="B85" s="272"/>
      <c r="C85" s="272"/>
      <c r="D85" s="272"/>
      <c r="E85" s="272"/>
      <c r="F85" s="272"/>
      <c r="G85" s="272"/>
      <c r="H85" s="272"/>
      <c r="I85" s="272"/>
      <c r="J85" s="272"/>
      <c r="K85" s="272"/>
      <c r="L85" s="272"/>
      <c r="M85" s="272"/>
      <c r="N85" s="272"/>
    </row>
    <row r="86" spans="1:15" ht="17.25" customHeight="1" x14ac:dyDescent="0.25">
      <c r="A86" s="25">
        <v>72</v>
      </c>
      <c r="B86" s="272"/>
      <c r="C86" s="272"/>
      <c r="D86" s="272"/>
      <c r="E86" s="272"/>
      <c r="F86" s="272"/>
      <c r="G86" s="272"/>
      <c r="H86" s="272"/>
      <c r="I86" s="272"/>
      <c r="J86" s="272"/>
      <c r="K86" s="272"/>
      <c r="L86" s="272"/>
      <c r="M86" s="272"/>
      <c r="N86" s="272"/>
    </row>
    <row r="87" spans="1:15" ht="17.25" customHeight="1" x14ac:dyDescent="0.25">
      <c r="A87" s="25">
        <v>73</v>
      </c>
      <c r="B87" s="272"/>
      <c r="C87" s="272"/>
      <c r="D87" s="272"/>
      <c r="E87" s="272"/>
      <c r="F87" s="272"/>
      <c r="G87" s="272"/>
      <c r="H87" s="272"/>
      <c r="I87" s="272"/>
      <c r="J87" s="272"/>
      <c r="K87" s="272"/>
      <c r="L87" s="272"/>
      <c r="M87" s="272"/>
      <c r="N87" s="272"/>
    </row>
    <row r="88" spans="1:15" ht="17.25" customHeight="1" x14ac:dyDescent="0.25">
      <c r="A88" s="25">
        <v>74</v>
      </c>
      <c r="B88" s="272"/>
      <c r="C88" s="272"/>
      <c r="D88" s="272"/>
      <c r="E88" s="272"/>
      <c r="F88" s="272"/>
      <c r="G88" s="272"/>
      <c r="H88" s="272"/>
      <c r="I88" s="272"/>
      <c r="J88" s="272"/>
      <c r="K88" s="272"/>
      <c r="L88" s="272"/>
      <c r="M88" s="272"/>
      <c r="N88" s="272"/>
    </row>
    <row r="89" spans="1:15" ht="17.25" customHeight="1" x14ac:dyDescent="0.25">
      <c r="A89" s="25">
        <v>75</v>
      </c>
      <c r="B89" s="272"/>
      <c r="C89" s="272"/>
      <c r="D89" s="272"/>
      <c r="E89" s="272"/>
      <c r="F89" s="272"/>
      <c r="G89" s="272"/>
      <c r="H89" s="272"/>
      <c r="I89" s="272"/>
      <c r="J89" s="272"/>
      <c r="K89" s="272"/>
      <c r="L89" s="272"/>
      <c r="M89" s="272"/>
      <c r="N89" s="272"/>
    </row>
    <row r="90" spans="1:15" ht="17.25" customHeight="1" x14ac:dyDescent="0.25">
      <c r="A90" s="25">
        <v>76</v>
      </c>
      <c r="B90" s="272"/>
      <c r="C90" s="272"/>
      <c r="D90" s="272"/>
      <c r="E90" s="272"/>
      <c r="F90" s="272"/>
      <c r="G90" s="272"/>
      <c r="H90" s="272"/>
      <c r="I90" s="272"/>
      <c r="J90" s="272"/>
      <c r="K90" s="272"/>
      <c r="L90" s="272"/>
      <c r="M90" s="272"/>
      <c r="N90" s="272"/>
    </row>
    <row r="91" spans="1:15" ht="17.25" customHeight="1" x14ac:dyDescent="0.25">
      <c r="A91" s="25">
        <v>77</v>
      </c>
      <c r="B91" s="272"/>
      <c r="C91" s="272"/>
      <c r="D91" s="272"/>
      <c r="E91" s="272"/>
      <c r="F91" s="272"/>
      <c r="G91" s="272"/>
      <c r="H91" s="272"/>
      <c r="I91" s="272"/>
      <c r="J91" s="272"/>
      <c r="K91" s="272"/>
      <c r="L91" s="272"/>
      <c r="M91" s="272"/>
      <c r="N91" s="272"/>
    </row>
    <row r="92" spans="1:15" ht="17.25" customHeight="1" x14ac:dyDescent="0.25">
      <c r="A92" s="25">
        <v>78</v>
      </c>
      <c r="B92" s="272"/>
      <c r="C92" s="272"/>
      <c r="D92" s="272"/>
      <c r="E92" s="272"/>
      <c r="F92" s="272"/>
      <c r="G92" s="272"/>
      <c r="H92" s="272"/>
      <c r="I92" s="272"/>
      <c r="J92" s="272"/>
      <c r="K92" s="272"/>
      <c r="L92" s="272"/>
      <c r="M92" s="272"/>
      <c r="N92" s="272"/>
    </row>
    <row r="93" spans="1:15" ht="17.25" customHeight="1" x14ac:dyDescent="0.25">
      <c r="A93" s="25">
        <v>79</v>
      </c>
      <c r="B93" s="272"/>
      <c r="C93" s="272"/>
      <c r="D93" s="272"/>
      <c r="E93" s="272"/>
      <c r="F93" s="272"/>
      <c r="G93" s="272"/>
      <c r="H93" s="272"/>
      <c r="I93" s="272"/>
      <c r="J93" s="272"/>
      <c r="K93" s="272"/>
      <c r="L93" s="272"/>
      <c r="M93" s="272"/>
      <c r="N93" s="272"/>
    </row>
    <row r="94" spans="1:15" ht="17.25" customHeight="1" x14ac:dyDescent="0.25">
      <c r="A94" s="25">
        <v>80</v>
      </c>
      <c r="B94" s="272"/>
      <c r="C94" s="272"/>
      <c r="D94" s="272"/>
      <c r="E94" s="272"/>
      <c r="F94" s="272"/>
      <c r="G94" s="272"/>
      <c r="H94" s="272"/>
      <c r="I94" s="272"/>
      <c r="J94" s="272"/>
      <c r="K94" s="272"/>
      <c r="L94" s="272"/>
      <c r="M94" s="272"/>
      <c r="N94" s="272"/>
    </row>
    <row r="95" spans="1:15" ht="17.25" customHeight="1" x14ac:dyDescent="0.25">
      <c r="A95" s="25">
        <v>81</v>
      </c>
      <c r="B95" s="272"/>
      <c r="C95" s="272"/>
      <c r="D95" s="272"/>
      <c r="E95" s="272"/>
      <c r="F95" s="272"/>
      <c r="G95" s="272"/>
      <c r="H95" s="272"/>
      <c r="I95" s="272"/>
      <c r="J95" s="272"/>
      <c r="K95" s="272"/>
      <c r="L95" s="272"/>
      <c r="M95" s="272"/>
      <c r="N95" s="272"/>
    </row>
    <row r="96" spans="1:15" ht="17.25" customHeight="1" x14ac:dyDescent="0.25">
      <c r="A96" s="25">
        <v>82</v>
      </c>
      <c r="B96" s="272"/>
      <c r="C96" s="272"/>
      <c r="D96" s="272"/>
      <c r="E96" s="272"/>
      <c r="F96" s="272"/>
      <c r="G96" s="272"/>
      <c r="H96" s="272"/>
      <c r="I96" s="272"/>
      <c r="J96" s="272"/>
      <c r="K96" s="272"/>
      <c r="L96" s="272"/>
      <c r="M96" s="272"/>
      <c r="N96" s="272"/>
    </row>
    <row r="97" spans="1:14" ht="17.25" customHeight="1" x14ac:dyDescent="0.25">
      <c r="A97" s="25">
        <v>83</v>
      </c>
      <c r="B97" s="272"/>
      <c r="C97" s="272"/>
      <c r="D97" s="272"/>
      <c r="E97" s="272"/>
      <c r="F97" s="272"/>
      <c r="G97" s="272"/>
      <c r="H97" s="272"/>
      <c r="I97" s="272"/>
      <c r="J97" s="272"/>
      <c r="K97" s="272"/>
      <c r="L97" s="272"/>
      <c r="M97" s="272"/>
      <c r="N97" s="272"/>
    </row>
    <row r="98" spans="1:14" ht="17.25" customHeight="1" x14ac:dyDescent="0.25">
      <c r="A98" s="25">
        <v>84</v>
      </c>
      <c r="B98" s="272"/>
      <c r="C98" s="272"/>
      <c r="D98" s="272"/>
      <c r="E98" s="272"/>
      <c r="F98" s="272"/>
      <c r="G98" s="272"/>
      <c r="H98" s="272"/>
      <c r="I98" s="272"/>
      <c r="J98" s="272"/>
      <c r="K98" s="272"/>
      <c r="L98" s="272"/>
      <c r="M98" s="272"/>
      <c r="N98" s="272"/>
    </row>
    <row r="99" spans="1:14" ht="17.25" customHeight="1" x14ac:dyDescent="0.25">
      <c r="A99" s="25">
        <v>85</v>
      </c>
      <c r="B99" s="272"/>
      <c r="C99" s="272"/>
      <c r="D99" s="272"/>
      <c r="E99" s="272"/>
      <c r="F99" s="272"/>
      <c r="G99" s="272"/>
      <c r="H99" s="272"/>
      <c r="I99" s="272"/>
      <c r="J99" s="272"/>
      <c r="K99" s="272"/>
      <c r="L99" s="272"/>
      <c r="M99" s="272"/>
      <c r="N99" s="272"/>
    </row>
    <row r="100" spans="1:14" ht="17.25" customHeight="1" x14ac:dyDescent="0.25">
      <c r="A100" s="25">
        <v>86</v>
      </c>
      <c r="B100" s="272"/>
      <c r="C100" s="272"/>
      <c r="D100" s="272"/>
      <c r="E100" s="272"/>
      <c r="F100" s="272"/>
      <c r="G100" s="272"/>
      <c r="H100" s="272"/>
      <c r="I100" s="272"/>
      <c r="J100" s="272"/>
      <c r="K100" s="272"/>
      <c r="L100" s="272"/>
      <c r="M100" s="272"/>
      <c r="N100" s="272"/>
    </row>
    <row r="101" spans="1:14" ht="17.25" customHeight="1" x14ac:dyDescent="0.25">
      <c r="A101" s="25">
        <v>87</v>
      </c>
      <c r="B101" s="272"/>
      <c r="C101" s="272"/>
      <c r="D101" s="272"/>
      <c r="E101" s="272"/>
      <c r="F101" s="272"/>
      <c r="G101" s="272"/>
      <c r="H101" s="272"/>
      <c r="I101" s="272"/>
      <c r="J101" s="272"/>
      <c r="K101" s="272"/>
      <c r="L101" s="272"/>
      <c r="M101" s="272"/>
      <c r="N101" s="272"/>
    </row>
    <row r="102" spans="1:14" ht="17.25" customHeight="1" x14ac:dyDescent="0.25">
      <c r="A102" s="25">
        <v>88</v>
      </c>
      <c r="B102" s="272"/>
      <c r="C102" s="272"/>
      <c r="D102" s="272"/>
      <c r="E102" s="272"/>
      <c r="F102" s="272"/>
      <c r="G102" s="272"/>
      <c r="H102" s="272"/>
      <c r="I102" s="272"/>
      <c r="J102" s="272"/>
      <c r="K102" s="272"/>
      <c r="L102" s="272"/>
      <c r="M102" s="272"/>
      <c r="N102" s="272"/>
    </row>
    <row r="103" spans="1:14" ht="17.25" customHeight="1" x14ac:dyDescent="0.25">
      <c r="A103" s="25">
        <v>89</v>
      </c>
      <c r="B103" s="272"/>
      <c r="C103" s="272"/>
      <c r="D103" s="272"/>
      <c r="E103" s="272"/>
      <c r="F103" s="272"/>
      <c r="G103" s="272"/>
      <c r="H103" s="272"/>
      <c r="I103" s="272"/>
      <c r="J103" s="272"/>
      <c r="K103" s="272"/>
      <c r="L103" s="272"/>
      <c r="M103" s="272"/>
      <c r="N103" s="272"/>
    </row>
    <row r="104" spans="1:14" ht="17.25" customHeight="1" x14ac:dyDescent="0.25">
      <c r="A104" s="25">
        <v>90</v>
      </c>
      <c r="B104" s="272"/>
      <c r="C104" s="272"/>
      <c r="D104" s="272"/>
      <c r="E104" s="272"/>
      <c r="F104" s="272"/>
      <c r="G104" s="272"/>
      <c r="H104" s="272"/>
      <c r="I104" s="272"/>
      <c r="J104" s="272"/>
      <c r="K104" s="272"/>
      <c r="L104" s="272"/>
      <c r="M104" s="272"/>
      <c r="N104" s="272"/>
    </row>
    <row r="105" spans="1:14" ht="17.25" customHeight="1" x14ac:dyDescent="0.25">
      <c r="A105" s="25">
        <v>91</v>
      </c>
      <c r="B105" s="272"/>
      <c r="C105" s="272"/>
      <c r="D105" s="272"/>
      <c r="E105" s="272"/>
      <c r="F105" s="272"/>
      <c r="G105" s="272"/>
      <c r="H105" s="272"/>
      <c r="I105" s="272"/>
      <c r="J105" s="272"/>
      <c r="K105" s="272"/>
      <c r="L105" s="272"/>
      <c r="M105" s="272"/>
      <c r="N105" s="272"/>
    </row>
    <row r="106" spans="1:14" ht="17.25" customHeight="1" x14ac:dyDescent="0.25">
      <c r="A106" s="25">
        <v>92</v>
      </c>
      <c r="B106" s="272"/>
      <c r="C106" s="272"/>
      <c r="D106" s="272"/>
      <c r="E106" s="272"/>
      <c r="F106" s="272"/>
      <c r="G106" s="272"/>
      <c r="H106" s="272"/>
      <c r="I106" s="272"/>
      <c r="J106" s="272"/>
      <c r="K106" s="272"/>
      <c r="L106" s="272"/>
      <c r="M106" s="272"/>
      <c r="N106" s="272"/>
    </row>
    <row r="107" spans="1:14" ht="17.25" customHeight="1" x14ac:dyDescent="0.25">
      <c r="A107" s="25">
        <v>93</v>
      </c>
      <c r="B107" s="272"/>
      <c r="C107" s="272"/>
      <c r="D107" s="272"/>
      <c r="E107" s="272"/>
      <c r="F107" s="272"/>
      <c r="G107" s="272"/>
      <c r="H107" s="272"/>
      <c r="I107" s="272"/>
      <c r="J107" s="272"/>
      <c r="K107" s="272"/>
      <c r="L107" s="272"/>
      <c r="M107" s="272"/>
      <c r="N107" s="272"/>
    </row>
    <row r="108" spans="1:14" ht="17.25" customHeight="1" x14ac:dyDescent="0.25">
      <c r="A108" s="25">
        <v>94</v>
      </c>
      <c r="B108" s="272"/>
      <c r="C108" s="272"/>
      <c r="D108" s="272"/>
      <c r="E108" s="272"/>
      <c r="F108" s="272"/>
      <c r="G108" s="272"/>
      <c r="H108" s="272"/>
      <c r="I108" s="272"/>
      <c r="J108" s="272"/>
      <c r="K108" s="272"/>
      <c r="L108" s="272"/>
      <c r="M108" s="272"/>
      <c r="N108" s="272"/>
    </row>
    <row r="109" spans="1:14" ht="17.25" customHeight="1" x14ac:dyDescent="0.25">
      <c r="B109" s="272"/>
      <c r="C109" s="272"/>
      <c r="D109" s="272"/>
      <c r="E109" s="272"/>
      <c r="F109" s="272"/>
      <c r="G109" s="272"/>
      <c r="H109" s="272"/>
      <c r="I109" s="272"/>
      <c r="J109" s="272"/>
      <c r="K109" s="272"/>
      <c r="L109" s="272"/>
      <c r="M109" s="272"/>
      <c r="N109" s="272"/>
    </row>
    <row r="110" spans="1:14" ht="17.25" customHeight="1" x14ac:dyDescent="0.25">
      <c r="B110" s="272"/>
      <c r="C110" s="272"/>
      <c r="D110" s="272"/>
      <c r="E110" s="272"/>
      <c r="F110" s="272"/>
      <c r="G110" s="272"/>
      <c r="H110" s="272"/>
      <c r="I110" s="272"/>
      <c r="J110" s="272"/>
      <c r="K110" s="272"/>
      <c r="L110" s="272"/>
      <c r="M110" s="272"/>
      <c r="N110" s="272"/>
    </row>
    <row r="111" spans="1:14" ht="17.25" customHeight="1" x14ac:dyDescent="0.25">
      <c r="B111" s="272"/>
      <c r="C111" s="272"/>
      <c r="D111" s="272"/>
      <c r="E111" s="272"/>
      <c r="F111" s="272"/>
      <c r="G111" s="272"/>
      <c r="H111" s="272"/>
      <c r="I111" s="272"/>
      <c r="J111" s="272"/>
      <c r="K111" s="272"/>
      <c r="L111" s="272"/>
      <c r="M111" s="272"/>
      <c r="N111" s="272"/>
    </row>
    <row r="112" spans="1:14" ht="17.25" customHeight="1" x14ac:dyDescent="0.25">
      <c r="B112" s="272"/>
      <c r="C112" s="272"/>
      <c r="D112" s="272"/>
      <c r="E112" s="272"/>
      <c r="F112" s="272"/>
      <c r="G112" s="272"/>
      <c r="H112" s="272"/>
      <c r="I112" s="272"/>
      <c r="J112" s="272"/>
      <c r="K112" s="272"/>
      <c r="L112" s="272"/>
      <c r="M112" s="272"/>
      <c r="N112" s="272"/>
    </row>
    <row r="113" spans="2:14" ht="17.25" customHeight="1" x14ac:dyDescent="0.25">
      <c r="B113" s="272"/>
      <c r="C113" s="272"/>
      <c r="D113" s="272"/>
      <c r="E113" s="272"/>
      <c r="F113" s="272"/>
      <c r="G113" s="272"/>
      <c r="H113" s="272"/>
      <c r="I113" s="272"/>
      <c r="J113" s="272"/>
      <c r="K113" s="272"/>
      <c r="L113" s="272"/>
      <c r="M113" s="272"/>
      <c r="N113" s="272"/>
    </row>
    <row r="114" spans="2:14" ht="17.25" customHeight="1" x14ac:dyDescent="0.25">
      <c r="B114" s="272"/>
      <c r="C114" s="272"/>
      <c r="D114" s="272"/>
      <c r="E114" s="272"/>
      <c r="F114" s="272"/>
      <c r="G114" s="272"/>
      <c r="H114" s="272"/>
      <c r="I114" s="272"/>
      <c r="J114" s="272"/>
      <c r="K114" s="272"/>
      <c r="L114" s="272"/>
      <c r="M114" s="272"/>
      <c r="N114" s="272"/>
    </row>
    <row r="115" spans="2:14" ht="17.25" customHeight="1" x14ac:dyDescent="0.25">
      <c r="B115" s="272"/>
      <c r="C115" s="272"/>
      <c r="D115" s="272"/>
      <c r="E115" s="272"/>
      <c r="F115" s="272"/>
      <c r="G115" s="272"/>
      <c r="H115" s="272"/>
      <c r="I115" s="272"/>
      <c r="J115" s="272"/>
      <c r="K115" s="272"/>
      <c r="L115" s="272"/>
      <c r="M115" s="272"/>
      <c r="N115" s="272"/>
    </row>
    <row r="116" spans="2:14" ht="17.25" customHeight="1" x14ac:dyDescent="0.25">
      <c r="B116" s="272"/>
      <c r="C116" s="272"/>
      <c r="D116" s="272"/>
      <c r="E116" s="272"/>
      <c r="F116" s="272"/>
      <c r="G116" s="272"/>
      <c r="H116" s="272"/>
      <c r="I116" s="272"/>
      <c r="J116" s="272"/>
      <c r="K116" s="272"/>
      <c r="L116" s="272"/>
      <c r="M116" s="272"/>
      <c r="N116" s="272"/>
    </row>
    <row r="117" spans="2:14" ht="17.25" customHeight="1" x14ac:dyDescent="0.25">
      <c r="B117" s="272"/>
      <c r="C117" s="272"/>
      <c r="D117" s="272"/>
      <c r="E117" s="272"/>
      <c r="F117" s="272"/>
      <c r="G117" s="272"/>
      <c r="H117" s="272"/>
      <c r="I117" s="272"/>
      <c r="J117" s="272"/>
      <c r="K117" s="272"/>
      <c r="L117" s="272"/>
      <c r="M117" s="272"/>
      <c r="N117" s="272"/>
    </row>
    <row r="118" spans="2:14" ht="17.25" customHeight="1" x14ac:dyDescent="0.25">
      <c r="B118" s="272"/>
      <c r="C118" s="272"/>
      <c r="D118" s="272"/>
      <c r="E118" s="272"/>
      <c r="F118" s="272"/>
      <c r="G118" s="272"/>
      <c r="H118" s="272"/>
      <c r="I118" s="272"/>
      <c r="J118" s="272"/>
      <c r="K118" s="272"/>
      <c r="L118" s="272"/>
      <c r="M118" s="272"/>
      <c r="N118" s="272"/>
    </row>
    <row r="119" spans="2:14" ht="17.25" customHeight="1" x14ac:dyDescent="0.25">
      <c r="B119" s="272"/>
      <c r="C119" s="272"/>
      <c r="D119" s="272"/>
      <c r="E119" s="272"/>
      <c r="F119" s="272"/>
      <c r="G119" s="272"/>
      <c r="H119" s="272"/>
      <c r="I119" s="272"/>
      <c r="J119" s="272"/>
      <c r="K119" s="272"/>
      <c r="L119" s="272"/>
      <c r="M119" s="272"/>
      <c r="N119" s="272"/>
    </row>
    <row r="120" spans="2:14" ht="17.25" customHeight="1" x14ac:dyDescent="0.25">
      <c r="B120" s="272"/>
      <c r="C120" s="272"/>
      <c r="D120" s="272"/>
      <c r="E120" s="272"/>
      <c r="F120" s="272"/>
      <c r="G120" s="272"/>
      <c r="H120" s="272"/>
      <c r="I120" s="272"/>
      <c r="J120" s="272"/>
      <c r="K120" s="272"/>
      <c r="L120" s="272"/>
      <c r="M120" s="272"/>
      <c r="N120" s="272"/>
    </row>
    <row r="121" spans="2:14" ht="17.25" customHeight="1" x14ac:dyDescent="0.25">
      <c r="B121" s="272"/>
      <c r="C121" s="272"/>
      <c r="D121" s="272"/>
      <c r="E121" s="272"/>
      <c r="F121" s="272"/>
      <c r="G121" s="272"/>
      <c r="H121" s="272"/>
      <c r="I121" s="272"/>
      <c r="J121" s="272"/>
      <c r="K121" s="272"/>
      <c r="L121" s="272"/>
      <c r="M121" s="272"/>
      <c r="N121" s="272"/>
    </row>
    <row r="122" spans="2:14" ht="17.25" customHeight="1" x14ac:dyDescent="0.25">
      <c r="B122" s="272"/>
      <c r="C122" s="272"/>
      <c r="D122" s="272"/>
      <c r="E122" s="272"/>
      <c r="F122" s="272"/>
      <c r="G122" s="272"/>
      <c r="H122" s="272"/>
      <c r="I122" s="272"/>
      <c r="J122" s="272"/>
      <c r="K122" s="272"/>
      <c r="L122" s="272"/>
      <c r="M122" s="272"/>
      <c r="N122" s="272"/>
    </row>
    <row r="123" spans="2:14" ht="17.25" customHeight="1" x14ac:dyDescent="0.25">
      <c r="B123" s="272"/>
      <c r="C123" s="272"/>
      <c r="D123" s="272"/>
      <c r="E123" s="272"/>
      <c r="F123" s="272"/>
      <c r="G123" s="272"/>
      <c r="H123" s="272"/>
      <c r="I123" s="272"/>
      <c r="J123" s="272"/>
      <c r="K123" s="272"/>
      <c r="L123" s="272"/>
      <c r="M123" s="272"/>
      <c r="N123" s="272"/>
    </row>
    <row r="124" spans="2:14" ht="17.25" customHeight="1" x14ac:dyDescent="0.25">
      <c r="B124" s="272"/>
      <c r="C124" s="272"/>
      <c r="D124" s="272"/>
      <c r="E124" s="272"/>
      <c r="F124" s="272"/>
      <c r="G124" s="272"/>
      <c r="H124" s="272"/>
      <c r="I124" s="272"/>
      <c r="J124" s="272"/>
      <c r="K124" s="272"/>
      <c r="L124" s="272"/>
      <c r="M124" s="272"/>
      <c r="N124" s="272"/>
    </row>
    <row r="125" spans="2:14" ht="17.25" customHeight="1" x14ac:dyDescent="0.25">
      <c r="B125" s="272"/>
      <c r="C125" s="272"/>
      <c r="D125" s="272"/>
      <c r="E125" s="272"/>
      <c r="F125" s="272"/>
      <c r="G125" s="272"/>
      <c r="H125" s="272"/>
      <c r="I125" s="272"/>
      <c r="J125" s="272"/>
      <c r="K125" s="272"/>
      <c r="L125" s="272"/>
      <c r="M125" s="272"/>
      <c r="N125" s="272"/>
    </row>
    <row r="126" spans="2:14" ht="17.25" customHeight="1" x14ac:dyDescent="0.25">
      <c r="B126" s="272"/>
      <c r="C126" s="272"/>
      <c r="D126" s="272"/>
      <c r="E126" s="272"/>
      <c r="F126" s="272"/>
      <c r="G126" s="272"/>
      <c r="H126" s="272"/>
      <c r="I126" s="272"/>
      <c r="J126" s="272"/>
      <c r="K126" s="272"/>
      <c r="L126" s="272"/>
      <c r="M126" s="272"/>
      <c r="N126" s="272"/>
    </row>
    <row r="127" spans="2:14" ht="17.25" customHeight="1" x14ac:dyDescent="0.25">
      <c r="B127" s="272"/>
      <c r="C127" s="272"/>
      <c r="D127" s="272"/>
      <c r="E127" s="272"/>
      <c r="F127" s="272"/>
      <c r="G127" s="272"/>
      <c r="H127" s="272"/>
      <c r="I127" s="272"/>
      <c r="J127" s="272"/>
      <c r="K127" s="272"/>
      <c r="L127" s="272"/>
      <c r="M127" s="272"/>
      <c r="N127" s="272"/>
    </row>
    <row r="128" spans="2:14" ht="17.25" customHeight="1" x14ac:dyDescent="0.25">
      <c r="B128" s="272"/>
      <c r="C128" s="272"/>
      <c r="D128" s="272"/>
      <c r="E128" s="272"/>
      <c r="F128" s="272"/>
      <c r="G128" s="272"/>
      <c r="H128" s="272"/>
      <c r="I128" s="272"/>
      <c r="J128" s="272"/>
      <c r="K128" s="272"/>
      <c r="L128" s="272"/>
      <c r="M128" s="272"/>
      <c r="N128" s="272"/>
    </row>
    <row r="129" spans="2:14" ht="17.25" customHeight="1" x14ac:dyDescent="0.25">
      <c r="B129" s="272"/>
      <c r="C129" s="272"/>
      <c r="D129" s="272"/>
      <c r="E129" s="272"/>
      <c r="F129" s="272"/>
      <c r="G129" s="272"/>
      <c r="H129" s="272"/>
      <c r="I129" s="272"/>
      <c r="J129" s="272"/>
      <c r="K129" s="272"/>
      <c r="L129" s="272"/>
      <c r="M129" s="272"/>
      <c r="N129" s="272"/>
    </row>
    <row r="130" spans="2:14" ht="17.25" customHeight="1" x14ac:dyDescent="0.25">
      <c r="B130" s="272"/>
      <c r="C130" s="272"/>
      <c r="D130" s="272"/>
      <c r="E130" s="272"/>
      <c r="F130" s="272"/>
      <c r="G130" s="272"/>
      <c r="H130" s="272"/>
      <c r="I130" s="272"/>
      <c r="J130" s="272"/>
      <c r="K130" s="272"/>
      <c r="L130" s="272"/>
      <c r="M130" s="272"/>
      <c r="N130" s="272"/>
    </row>
    <row r="131" spans="2:14" ht="17.25" customHeight="1" x14ac:dyDescent="0.25">
      <c r="B131" s="272"/>
      <c r="C131" s="272"/>
      <c r="D131" s="272"/>
      <c r="E131" s="272"/>
      <c r="F131" s="272"/>
      <c r="G131" s="272"/>
      <c r="H131" s="272"/>
      <c r="I131" s="272"/>
      <c r="J131" s="272"/>
      <c r="K131" s="272"/>
      <c r="L131" s="272"/>
      <c r="M131" s="272"/>
      <c r="N131" s="272"/>
    </row>
    <row r="132" spans="2:14" ht="17.25" customHeight="1" x14ac:dyDescent="0.25">
      <c r="B132" s="272"/>
      <c r="C132" s="272"/>
      <c r="D132" s="272"/>
      <c r="E132" s="272"/>
      <c r="F132" s="272"/>
      <c r="G132" s="272"/>
      <c r="H132" s="272"/>
      <c r="I132" s="272"/>
      <c r="J132" s="272"/>
      <c r="K132" s="272"/>
      <c r="L132" s="272"/>
      <c r="M132" s="272"/>
      <c r="N132" s="272"/>
    </row>
    <row r="133" spans="2:14" ht="17.25" customHeight="1" x14ac:dyDescent="0.25">
      <c r="B133" s="272"/>
      <c r="C133" s="272"/>
      <c r="D133" s="272"/>
      <c r="E133" s="272"/>
      <c r="F133" s="272"/>
      <c r="G133" s="272"/>
      <c r="H133" s="272"/>
      <c r="I133" s="272"/>
      <c r="J133" s="272"/>
      <c r="K133" s="272"/>
      <c r="L133" s="272"/>
      <c r="M133" s="272"/>
      <c r="N133" s="272"/>
    </row>
    <row r="134" spans="2:14" ht="17.25" customHeight="1" x14ac:dyDescent="0.25">
      <c r="B134" s="272"/>
      <c r="C134" s="272"/>
      <c r="D134" s="272"/>
      <c r="E134" s="272"/>
      <c r="F134" s="272"/>
      <c r="G134" s="272"/>
      <c r="H134" s="272"/>
      <c r="I134" s="272"/>
      <c r="J134" s="272"/>
      <c r="K134" s="272"/>
      <c r="L134" s="272"/>
      <c r="M134" s="272"/>
      <c r="N134" s="272"/>
    </row>
    <row r="135" spans="2:14" ht="17.25" customHeight="1" x14ac:dyDescent="0.25">
      <c r="B135" s="272"/>
      <c r="C135" s="272"/>
      <c r="D135" s="272"/>
      <c r="E135" s="272"/>
      <c r="F135" s="272"/>
      <c r="G135" s="272"/>
      <c r="H135" s="272"/>
      <c r="I135" s="272"/>
      <c r="J135" s="272"/>
      <c r="K135" s="272"/>
      <c r="L135" s="272"/>
      <c r="M135" s="272"/>
      <c r="N135" s="272"/>
    </row>
  </sheetData>
  <autoFilter ref="A31:N73"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126">
    <mergeCell ref="B134:N134"/>
    <mergeCell ref="B135:N135"/>
    <mergeCell ref="B54:N54"/>
    <mergeCell ref="B129:N129"/>
    <mergeCell ref="B130:N130"/>
    <mergeCell ref="B131:N131"/>
    <mergeCell ref="B132:N132"/>
    <mergeCell ref="B133:N133"/>
    <mergeCell ref="B124:N124"/>
    <mergeCell ref="B125:N125"/>
    <mergeCell ref="B126:N126"/>
    <mergeCell ref="B127:N127"/>
    <mergeCell ref="B128:N128"/>
    <mergeCell ref="B119:N119"/>
    <mergeCell ref="B120:N120"/>
    <mergeCell ref="B121:N121"/>
    <mergeCell ref="B122:N122"/>
    <mergeCell ref="B123:N123"/>
    <mergeCell ref="B114:N114"/>
    <mergeCell ref="B115:N115"/>
    <mergeCell ref="B116:N116"/>
    <mergeCell ref="B117:N117"/>
    <mergeCell ref="B118:N118"/>
    <mergeCell ref="B109:N109"/>
    <mergeCell ref="B110:N110"/>
    <mergeCell ref="B111:N111"/>
    <mergeCell ref="B112:N112"/>
    <mergeCell ref="B113:N113"/>
    <mergeCell ref="B104:N104"/>
    <mergeCell ref="B105:N105"/>
    <mergeCell ref="B106:N106"/>
    <mergeCell ref="B107:N107"/>
    <mergeCell ref="B108:N108"/>
    <mergeCell ref="B99:N99"/>
    <mergeCell ref="B100:N100"/>
    <mergeCell ref="B101:N101"/>
    <mergeCell ref="B102:N102"/>
    <mergeCell ref="B103:N103"/>
    <mergeCell ref="B94:N94"/>
    <mergeCell ref="B95:N95"/>
    <mergeCell ref="B96:N96"/>
    <mergeCell ref="B97:N97"/>
    <mergeCell ref="B98:N98"/>
    <mergeCell ref="B90:N90"/>
    <mergeCell ref="B91:N91"/>
    <mergeCell ref="B92:N92"/>
    <mergeCell ref="B93:N93"/>
    <mergeCell ref="B84:N84"/>
    <mergeCell ref="B85:N85"/>
    <mergeCell ref="B86:N86"/>
    <mergeCell ref="B87:N87"/>
    <mergeCell ref="B88:N88"/>
    <mergeCell ref="B89:N89"/>
    <mergeCell ref="B80:N80"/>
    <mergeCell ref="B81:N81"/>
    <mergeCell ref="B82:N82"/>
    <mergeCell ref="B83:N83"/>
    <mergeCell ref="B74:N74"/>
    <mergeCell ref="B75:N75"/>
    <mergeCell ref="B77:N77"/>
    <mergeCell ref="B78:N78"/>
    <mergeCell ref="B79:N79"/>
    <mergeCell ref="B49:N49"/>
    <mergeCell ref="B51:N51"/>
    <mergeCell ref="B47:N47"/>
    <mergeCell ref="B50:N50"/>
    <mergeCell ref="B72:N72"/>
    <mergeCell ref="B73:N73"/>
    <mergeCell ref="E8:N8"/>
    <mergeCell ref="G9:N9"/>
    <mergeCell ref="B66:N66"/>
    <mergeCell ref="B67:N67"/>
    <mergeCell ref="B68:N68"/>
    <mergeCell ref="B69:N69"/>
    <mergeCell ref="B70:N70"/>
    <mergeCell ref="B71:N71"/>
    <mergeCell ref="B60:N60"/>
    <mergeCell ref="B61:N61"/>
    <mergeCell ref="B62:N62"/>
    <mergeCell ref="B63:N63"/>
    <mergeCell ref="B11:N11"/>
    <mergeCell ref="B25:N25"/>
    <mergeCell ref="B15:N15"/>
    <mergeCell ref="B16:N16"/>
    <mergeCell ref="B18:N18"/>
    <mergeCell ref="B19:N19"/>
    <mergeCell ref="B38:N38"/>
    <mergeCell ref="B39:N39"/>
    <mergeCell ref="B41:N41"/>
    <mergeCell ref="B42:N42"/>
    <mergeCell ref="B43:N43"/>
    <mergeCell ref="B44:N44"/>
    <mergeCell ref="B45:N45"/>
    <mergeCell ref="B46:N46"/>
    <mergeCell ref="B48:N48"/>
    <mergeCell ref="B64:N64"/>
    <mergeCell ref="B65:N65"/>
    <mergeCell ref="B53:N53"/>
    <mergeCell ref="B55:N55"/>
    <mergeCell ref="B56:N56"/>
    <mergeCell ref="B57:N57"/>
    <mergeCell ref="B58:N58"/>
    <mergeCell ref="B59:N59"/>
    <mergeCell ref="B52:N52"/>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14:N14"/>
    <mergeCell ref="B7:N7"/>
    <mergeCell ref="B20:N20"/>
    <mergeCell ref="B21:N21"/>
    <mergeCell ref="B10:N10"/>
    <mergeCell ref="B13:N13"/>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77" t="s">
        <v>217</v>
      </c>
      <c r="J1" s="278"/>
      <c r="K1" s="278"/>
      <c r="L1" s="278"/>
      <c r="M1" s="278"/>
      <c r="N1" s="278"/>
      <c r="O1" s="278"/>
      <c r="P1" s="278"/>
      <c r="Q1" s="278"/>
      <c r="R1" s="278"/>
      <c r="S1" s="278"/>
      <c r="T1" s="278"/>
      <c r="U1" s="278"/>
      <c r="V1" s="279"/>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81" t="s">
        <v>214</v>
      </c>
      <c r="M2" s="281"/>
      <c r="N2" s="281"/>
      <c r="O2" s="281"/>
      <c r="P2" s="281"/>
      <c r="Q2" s="281"/>
      <c r="R2" s="281"/>
      <c r="S2" s="281"/>
      <c r="T2" s="281"/>
      <c r="U2" s="281"/>
      <c r="V2" s="281"/>
      <c r="W2" s="281"/>
      <c r="X2" s="281"/>
    </row>
    <row r="3" spans="1:24" x14ac:dyDescent="0.25">
      <c r="A3" s="29">
        <v>44236</v>
      </c>
      <c r="B3" s="30" t="s">
        <v>42</v>
      </c>
      <c r="C3" s="30" t="s">
        <v>45</v>
      </c>
      <c r="D3" s="30" t="s">
        <v>46</v>
      </c>
      <c r="E3" s="30">
        <v>40</v>
      </c>
      <c r="F3" s="30">
        <v>4.99</v>
      </c>
      <c r="G3" s="31">
        <f t="shared" si="0"/>
        <v>199.60000000000002</v>
      </c>
      <c r="I3" s="13" t="s">
        <v>42</v>
      </c>
      <c r="J3">
        <v>10909.43</v>
      </c>
      <c r="L3" s="280" t="s">
        <v>215</v>
      </c>
      <c r="M3" s="280"/>
      <c r="N3" s="280"/>
      <c r="O3" s="280"/>
      <c r="P3" s="280"/>
      <c r="Q3" s="280"/>
      <c r="R3" s="280"/>
      <c r="S3" s="280"/>
      <c r="T3" s="280"/>
      <c r="U3" s="280"/>
      <c r="V3" s="280"/>
      <c r="W3" s="280"/>
      <c r="X3" s="280"/>
    </row>
    <row r="4" spans="1:24" x14ac:dyDescent="0.25">
      <c r="A4" s="32">
        <v>44253</v>
      </c>
      <c r="B4" s="33" t="s">
        <v>42</v>
      </c>
      <c r="C4" s="33" t="s">
        <v>47</v>
      </c>
      <c r="D4" s="33" t="s">
        <v>48</v>
      </c>
      <c r="E4" s="33">
        <v>27</v>
      </c>
      <c r="F4" s="33">
        <v>19.989999999999998</v>
      </c>
      <c r="G4" s="34">
        <f t="shared" si="0"/>
        <v>539.7299999999999</v>
      </c>
      <c r="I4" s="15" t="s">
        <v>49</v>
      </c>
      <c r="J4">
        <v>438.37</v>
      </c>
      <c r="L4" s="280" t="s">
        <v>216</v>
      </c>
      <c r="M4" s="280"/>
      <c r="N4" s="280"/>
      <c r="O4" s="280"/>
      <c r="P4" s="280"/>
      <c r="Q4" s="280"/>
      <c r="R4" s="280"/>
      <c r="S4" s="280"/>
      <c r="T4" s="280"/>
      <c r="U4" s="280"/>
      <c r="V4" s="280"/>
      <c r="W4" s="280"/>
      <c r="X4" s="280"/>
    </row>
    <row r="5" spans="1:24" x14ac:dyDescent="0.25">
      <c r="A5" s="29">
        <v>44304</v>
      </c>
      <c r="B5" s="30" t="s">
        <v>42</v>
      </c>
      <c r="C5" s="30" t="s">
        <v>49</v>
      </c>
      <c r="D5" s="30" t="s">
        <v>46</v>
      </c>
      <c r="E5" s="30">
        <v>75</v>
      </c>
      <c r="F5" s="30">
        <v>1.99</v>
      </c>
      <c r="G5" s="31">
        <f t="shared" si="0"/>
        <v>149.25</v>
      </c>
      <c r="I5" s="15" t="s">
        <v>47</v>
      </c>
      <c r="J5">
        <v>1749.8700000000001</v>
      </c>
      <c r="L5" s="281"/>
      <c r="M5" s="281"/>
      <c r="N5" s="281"/>
      <c r="O5" s="281"/>
      <c r="P5" s="281"/>
      <c r="Q5" s="281"/>
      <c r="R5" s="281"/>
      <c r="S5" s="281"/>
      <c r="T5" s="281"/>
      <c r="U5" s="281"/>
      <c r="V5" s="281"/>
      <c r="W5" s="281"/>
      <c r="X5" s="281"/>
    </row>
    <row r="6" spans="1:24" x14ac:dyDescent="0.25">
      <c r="A6" s="32">
        <v>44321</v>
      </c>
      <c r="B6" s="33" t="s">
        <v>42</v>
      </c>
      <c r="C6" s="33" t="s">
        <v>45</v>
      </c>
      <c r="D6" s="33" t="s">
        <v>46</v>
      </c>
      <c r="E6" s="33">
        <v>90</v>
      </c>
      <c r="F6" s="33">
        <v>4.99</v>
      </c>
      <c r="G6" s="34">
        <f t="shared" si="0"/>
        <v>449.1</v>
      </c>
      <c r="I6" s="15" t="s">
        <v>45</v>
      </c>
      <c r="J6">
        <v>2832.15</v>
      </c>
      <c r="L6" s="281"/>
      <c r="M6" s="281"/>
      <c r="N6" s="281"/>
      <c r="O6" s="281"/>
      <c r="P6" s="281"/>
      <c r="Q6" s="281"/>
      <c r="R6" s="281"/>
      <c r="S6" s="281"/>
      <c r="T6" s="281"/>
      <c r="U6" s="281"/>
      <c r="V6" s="281"/>
      <c r="W6" s="281"/>
      <c r="X6" s="281"/>
    </row>
    <row r="7" spans="1:24" x14ac:dyDescent="0.25">
      <c r="A7" s="29">
        <v>44372</v>
      </c>
      <c r="B7" s="30" t="s">
        <v>42</v>
      </c>
      <c r="C7" s="30" t="s">
        <v>50</v>
      </c>
      <c r="D7" s="30" t="s">
        <v>46</v>
      </c>
      <c r="E7" s="30">
        <v>90</v>
      </c>
      <c r="F7" s="30">
        <v>4.99</v>
      </c>
      <c r="G7" s="31">
        <f t="shared" si="0"/>
        <v>449.1</v>
      </c>
      <c r="I7" s="15" t="s">
        <v>43</v>
      </c>
      <c r="J7">
        <v>2309.84</v>
      </c>
      <c r="L7" s="281" t="s">
        <v>218</v>
      </c>
      <c r="M7" s="281"/>
      <c r="N7" s="281"/>
      <c r="O7" s="281"/>
      <c r="P7" s="281"/>
      <c r="Q7" s="281"/>
      <c r="R7" s="281"/>
      <c r="S7" s="281"/>
      <c r="T7" s="281"/>
      <c r="U7" s="281"/>
      <c r="V7" s="281"/>
      <c r="W7" s="281"/>
      <c r="X7" s="281"/>
    </row>
    <row r="8" spans="1:24" x14ac:dyDescent="0.25">
      <c r="A8" s="32">
        <v>44440</v>
      </c>
      <c r="B8" s="33" t="s">
        <v>42</v>
      </c>
      <c r="C8" s="33" t="s">
        <v>51</v>
      </c>
      <c r="D8" s="33" t="s">
        <v>52</v>
      </c>
      <c r="E8" s="33">
        <v>4</v>
      </c>
      <c r="F8" s="33">
        <v>200</v>
      </c>
      <c r="G8" s="34">
        <f t="shared" si="0"/>
        <v>800</v>
      </c>
      <c r="I8" s="15" t="s">
        <v>50</v>
      </c>
      <c r="J8">
        <v>1387.77</v>
      </c>
      <c r="L8" s="281"/>
      <c r="M8" s="281"/>
      <c r="N8" s="281"/>
      <c r="O8" s="281"/>
      <c r="P8" s="281"/>
      <c r="Q8" s="281"/>
      <c r="R8" s="281"/>
      <c r="S8" s="281"/>
      <c r="T8" s="281"/>
      <c r="U8" s="281"/>
      <c r="V8" s="281"/>
      <c r="W8" s="281"/>
      <c r="X8" s="281"/>
    </row>
    <row r="9" spans="1:24" x14ac:dyDescent="0.25">
      <c r="A9" s="29">
        <v>44474</v>
      </c>
      <c r="B9" s="30" t="s">
        <v>42</v>
      </c>
      <c r="C9" s="30" t="s">
        <v>50</v>
      </c>
      <c r="D9" s="30" t="s">
        <v>44</v>
      </c>
      <c r="E9" s="30">
        <v>28</v>
      </c>
      <c r="F9" s="30">
        <v>8.99</v>
      </c>
      <c r="G9" s="31">
        <f t="shared" si="0"/>
        <v>251.72</v>
      </c>
      <c r="I9" s="15" t="s">
        <v>51</v>
      </c>
      <c r="J9">
        <v>2191.4300000000003</v>
      </c>
      <c r="L9" s="281"/>
      <c r="M9" s="281"/>
      <c r="N9" s="281"/>
      <c r="O9" s="281"/>
      <c r="P9" s="281"/>
      <c r="Q9" s="281"/>
      <c r="R9" s="281"/>
      <c r="S9" s="281"/>
      <c r="T9" s="281"/>
      <c r="U9" s="281"/>
      <c r="V9" s="281"/>
      <c r="W9" s="281"/>
      <c r="X9" s="281"/>
    </row>
    <row r="10" spans="1:24" x14ac:dyDescent="0.25">
      <c r="A10" s="32">
        <v>44525</v>
      </c>
      <c r="B10" s="33" t="s">
        <v>42</v>
      </c>
      <c r="C10" s="33" t="s">
        <v>43</v>
      </c>
      <c r="D10" s="33" t="s">
        <v>53</v>
      </c>
      <c r="E10" s="33">
        <v>96</v>
      </c>
      <c r="F10" s="33">
        <v>4.99</v>
      </c>
      <c r="G10" s="34">
        <f t="shared" si="0"/>
        <v>479.04</v>
      </c>
      <c r="I10" s="13" t="s">
        <v>54</v>
      </c>
      <c r="J10">
        <v>6012.1299999999992</v>
      </c>
      <c r="L10" s="281"/>
      <c r="M10" s="281"/>
      <c r="N10" s="281"/>
      <c r="O10" s="281"/>
      <c r="P10" s="281"/>
      <c r="Q10" s="281"/>
      <c r="R10" s="281"/>
      <c r="S10" s="281"/>
      <c r="T10" s="281"/>
      <c r="U10" s="281"/>
      <c r="V10" s="281"/>
      <c r="W10" s="281"/>
      <c r="X10" s="281"/>
    </row>
    <row r="11" spans="1:24" x14ac:dyDescent="0.25">
      <c r="A11" s="29">
        <v>44542</v>
      </c>
      <c r="B11" s="30" t="s">
        <v>42</v>
      </c>
      <c r="C11" s="30" t="s">
        <v>51</v>
      </c>
      <c r="D11" s="30" t="s">
        <v>46</v>
      </c>
      <c r="E11" s="30">
        <v>67</v>
      </c>
      <c r="F11" s="30">
        <v>1.29</v>
      </c>
      <c r="G11" s="31">
        <f t="shared" si="0"/>
        <v>86.43</v>
      </c>
      <c r="I11" s="15" t="s">
        <v>56</v>
      </c>
      <c r="J11">
        <v>536.75</v>
      </c>
      <c r="L11" s="281"/>
      <c r="M11" s="281"/>
      <c r="N11" s="281"/>
      <c r="O11" s="281"/>
      <c r="P11" s="281"/>
      <c r="Q11" s="281"/>
      <c r="R11" s="281"/>
      <c r="S11" s="281"/>
      <c r="T11" s="281"/>
      <c r="U11" s="281"/>
      <c r="V11" s="281"/>
      <c r="W11" s="281"/>
      <c r="X11" s="281"/>
    </row>
    <row r="12" spans="1:24" x14ac:dyDescent="0.25">
      <c r="A12" s="32">
        <v>44576</v>
      </c>
      <c r="B12" s="33" t="s">
        <v>42</v>
      </c>
      <c r="C12" s="33" t="s">
        <v>47</v>
      </c>
      <c r="D12" s="33" t="s">
        <v>44</v>
      </c>
      <c r="E12" s="33">
        <v>46</v>
      </c>
      <c r="F12" s="33">
        <v>8.99</v>
      </c>
      <c r="G12" s="34">
        <f t="shared" si="0"/>
        <v>413.54</v>
      </c>
      <c r="I12" s="15" t="s">
        <v>55</v>
      </c>
      <c r="J12">
        <v>2373.08</v>
      </c>
      <c r="L12" s="281"/>
      <c r="M12" s="281"/>
      <c r="N12" s="281"/>
      <c r="O12" s="281"/>
      <c r="P12" s="281"/>
      <c r="Q12" s="281"/>
      <c r="R12" s="281"/>
      <c r="S12" s="281"/>
      <c r="T12" s="281"/>
      <c r="U12" s="281"/>
      <c r="V12" s="281"/>
      <c r="W12" s="281"/>
      <c r="X12" s="281"/>
    </row>
    <row r="13" spans="1:24" x14ac:dyDescent="0.25">
      <c r="A13" s="29">
        <v>44593</v>
      </c>
      <c r="B13" s="30" t="s">
        <v>42</v>
      </c>
      <c r="C13" s="30" t="s">
        <v>51</v>
      </c>
      <c r="D13" s="30" t="s">
        <v>44</v>
      </c>
      <c r="E13" s="30">
        <v>87</v>
      </c>
      <c r="F13" s="30">
        <v>15</v>
      </c>
      <c r="G13" s="31">
        <f t="shared" si="0"/>
        <v>1305</v>
      </c>
      <c r="I13" s="15" t="s">
        <v>57</v>
      </c>
      <c r="J13">
        <v>3102.2999999999997</v>
      </c>
      <c r="L13" s="281"/>
      <c r="M13" s="281"/>
      <c r="N13" s="281"/>
      <c r="O13" s="281"/>
      <c r="P13" s="281"/>
      <c r="Q13" s="281"/>
      <c r="R13" s="281"/>
      <c r="S13" s="281"/>
      <c r="T13" s="281"/>
      <c r="U13" s="281"/>
      <c r="V13" s="281"/>
      <c r="W13" s="281"/>
      <c r="X13" s="281"/>
    </row>
    <row r="14" spans="1:24" x14ac:dyDescent="0.25">
      <c r="A14" s="32">
        <v>44644</v>
      </c>
      <c r="B14" s="33" t="s">
        <v>42</v>
      </c>
      <c r="C14" s="33" t="s">
        <v>45</v>
      </c>
      <c r="D14" s="33" t="s">
        <v>53</v>
      </c>
      <c r="E14" s="33">
        <v>50</v>
      </c>
      <c r="F14" s="33">
        <v>4.99</v>
      </c>
      <c r="G14" s="34">
        <f t="shared" si="0"/>
        <v>249.5</v>
      </c>
      <c r="I14" s="13" t="s">
        <v>58</v>
      </c>
      <c r="J14">
        <v>2486.7199999999998</v>
      </c>
      <c r="L14" s="281"/>
      <c r="M14" s="281"/>
      <c r="N14" s="281"/>
      <c r="O14" s="281"/>
      <c r="P14" s="281"/>
      <c r="Q14" s="281"/>
      <c r="R14" s="281"/>
      <c r="S14" s="281"/>
      <c r="T14" s="281"/>
      <c r="U14" s="281"/>
      <c r="V14" s="281"/>
      <c r="W14" s="281"/>
      <c r="X14" s="281"/>
    </row>
    <row r="15" spans="1:24" x14ac:dyDescent="0.25">
      <c r="A15" s="29">
        <v>44661</v>
      </c>
      <c r="B15" s="30" t="s">
        <v>42</v>
      </c>
      <c r="C15" s="30" t="s">
        <v>49</v>
      </c>
      <c r="D15" s="30" t="s">
        <v>46</v>
      </c>
      <c r="E15" s="30">
        <v>66</v>
      </c>
      <c r="F15" s="30">
        <v>1.99</v>
      </c>
      <c r="G15" s="31">
        <f t="shared" si="0"/>
        <v>131.34</v>
      </c>
      <c r="I15" s="15" t="s">
        <v>59</v>
      </c>
      <c r="J15">
        <v>1283.6099999999999</v>
      </c>
      <c r="L15" s="281"/>
      <c r="M15" s="281"/>
      <c r="N15" s="281"/>
      <c r="O15" s="281"/>
      <c r="P15" s="281"/>
      <c r="Q15" s="281"/>
      <c r="R15" s="281"/>
      <c r="S15" s="281"/>
      <c r="T15" s="281"/>
      <c r="U15" s="281"/>
      <c r="V15" s="281"/>
      <c r="W15" s="281"/>
      <c r="X15" s="281"/>
    </row>
    <row r="16" spans="1:24" x14ac:dyDescent="0.25">
      <c r="A16" s="32">
        <v>44695</v>
      </c>
      <c r="B16" s="33" t="s">
        <v>42</v>
      </c>
      <c r="C16" s="33" t="s">
        <v>47</v>
      </c>
      <c r="D16" s="33" t="s">
        <v>46</v>
      </c>
      <c r="E16" s="33">
        <v>53</v>
      </c>
      <c r="F16" s="33">
        <v>1.29</v>
      </c>
      <c r="G16" s="34">
        <f t="shared" si="0"/>
        <v>68.37</v>
      </c>
      <c r="I16" s="15" t="s">
        <v>60</v>
      </c>
      <c r="J16">
        <v>1203.1099999999999</v>
      </c>
      <c r="L16" s="281"/>
      <c r="M16" s="281"/>
      <c r="N16" s="281"/>
      <c r="O16" s="281"/>
      <c r="P16" s="281"/>
      <c r="Q16" s="281"/>
      <c r="R16" s="281"/>
      <c r="S16" s="281"/>
      <c r="T16" s="281"/>
      <c r="U16" s="281"/>
      <c r="V16" s="281"/>
      <c r="W16" s="281"/>
      <c r="X16" s="281"/>
    </row>
    <row r="17" spans="1:24" x14ac:dyDescent="0.25">
      <c r="A17" s="29">
        <v>44712</v>
      </c>
      <c r="B17" s="30" t="s">
        <v>42</v>
      </c>
      <c r="C17" s="30" t="s">
        <v>47</v>
      </c>
      <c r="D17" s="30" t="s">
        <v>44</v>
      </c>
      <c r="E17" s="30">
        <v>80</v>
      </c>
      <c r="F17" s="30">
        <v>8.99</v>
      </c>
      <c r="G17" s="31">
        <f t="shared" si="0"/>
        <v>719.2</v>
      </c>
      <c r="I17" s="13" t="s">
        <v>62</v>
      </c>
      <c r="J17">
        <v>19408.280000000002</v>
      </c>
      <c r="L17" s="281"/>
      <c r="M17" s="281"/>
      <c r="N17" s="281"/>
      <c r="O17" s="281"/>
      <c r="P17" s="281"/>
      <c r="Q17" s="281"/>
      <c r="R17" s="281"/>
      <c r="S17" s="281"/>
      <c r="T17" s="281"/>
      <c r="U17" s="281"/>
      <c r="V17" s="281"/>
      <c r="W17" s="281"/>
      <c r="X17" s="281"/>
    </row>
    <row r="18" spans="1:24" x14ac:dyDescent="0.25">
      <c r="A18" s="32">
        <v>44729</v>
      </c>
      <c r="B18" s="33" t="s">
        <v>42</v>
      </c>
      <c r="C18" s="33" t="s">
        <v>43</v>
      </c>
      <c r="D18" s="33" t="s">
        <v>52</v>
      </c>
      <c r="E18" s="33">
        <v>5</v>
      </c>
      <c r="F18" s="33">
        <v>125</v>
      </c>
      <c r="G18" s="34">
        <f t="shared" si="0"/>
        <v>625</v>
      </c>
      <c r="L18" s="281"/>
      <c r="M18" s="281"/>
      <c r="N18" s="281"/>
      <c r="O18" s="281"/>
      <c r="P18" s="281"/>
      <c r="Q18" s="281"/>
      <c r="R18" s="281"/>
      <c r="S18" s="281"/>
      <c r="T18" s="281"/>
      <c r="U18" s="281"/>
      <c r="V18" s="281"/>
      <c r="W18" s="281"/>
      <c r="X18" s="281"/>
    </row>
    <row r="19" spans="1:24" x14ac:dyDescent="0.25">
      <c r="A19" s="29">
        <v>44763</v>
      </c>
      <c r="B19" s="30" t="s">
        <v>42</v>
      </c>
      <c r="C19" s="30" t="s">
        <v>50</v>
      </c>
      <c r="D19" s="30" t="s">
        <v>53</v>
      </c>
      <c r="E19" s="30">
        <v>55</v>
      </c>
      <c r="F19" s="30">
        <v>12.49</v>
      </c>
      <c r="G19" s="31">
        <f t="shared" si="0"/>
        <v>686.95</v>
      </c>
      <c r="L19" s="281"/>
      <c r="M19" s="281"/>
      <c r="N19" s="281"/>
      <c r="O19" s="281"/>
      <c r="P19" s="281"/>
      <c r="Q19" s="281"/>
      <c r="R19" s="281"/>
      <c r="S19" s="281"/>
      <c r="T19" s="281"/>
      <c r="U19" s="281"/>
      <c r="V19" s="281"/>
      <c r="W19" s="281"/>
      <c r="X19" s="281"/>
    </row>
    <row r="20" spans="1:24" ht="18.75" customHeight="1" x14ac:dyDescent="0.25">
      <c r="A20" s="32">
        <v>44780</v>
      </c>
      <c r="B20" s="33" t="s">
        <v>42</v>
      </c>
      <c r="C20" s="33" t="s">
        <v>43</v>
      </c>
      <c r="D20" s="33" t="s">
        <v>53</v>
      </c>
      <c r="E20" s="33">
        <v>42</v>
      </c>
      <c r="F20" s="33">
        <v>23.95</v>
      </c>
      <c r="G20" s="34">
        <f t="shared" si="0"/>
        <v>1005.9</v>
      </c>
      <c r="I20" s="280" t="s">
        <v>213</v>
      </c>
      <c r="J20" s="280"/>
      <c r="K20" s="280"/>
      <c r="L20" s="280"/>
      <c r="M20" s="280"/>
      <c r="N20" s="280"/>
      <c r="O20" s="280"/>
    </row>
    <row r="21" spans="1:24" x14ac:dyDescent="0.25">
      <c r="A21" s="29">
        <v>44814</v>
      </c>
      <c r="B21" s="30" t="s">
        <v>42</v>
      </c>
      <c r="C21" s="30" t="s">
        <v>47</v>
      </c>
      <c r="D21" s="30" t="s">
        <v>46</v>
      </c>
      <c r="E21" s="30">
        <v>7</v>
      </c>
      <c r="F21" s="30">
        <v>1.29</v>
      </c>
      <c r="G21" s="31">
        <f t="shared" si="0"/>
        <v>9.0300000000000011</v>
      </c>
      <c r="I21" s="280" t="s">
        <v>207</v>
      </c>
      <c r="J21" s="280"/>
      <c r="K21" s="280"/>
      <c r="L21" s="280"/>
      <c r="M21" s="280"/>
      <c r="N21" s="280"/>
      <c r="O21" s="280"/>
    </row>
    <row r="22" spans="1:24" x14ac:dyDescent="0.25">
      <c r="A22" s="32">
        <v>44865</v>
      </c>
      <c r="B22" s="33" t="s">
        <v>42</v>
      </c>
      <c r="C22" s="33" t="s">
        <v>49</v>
      </c>
      <c r="D22" s="33" t="s">
        <v>46</v>
      </c>
      <c r="E22" s="33">
        <v>14</v>
      </c>
      <c r="F22" s="33">
        <v>1.29</v>
      </c>
      <c r="G22" s="34">
        <f t="shared" si="0"/>
        <v>18.060000000000002</v>
      </c>
      <c r="I22" s="280" t="s">
        <v>209</v>
      </c>
      <c r="J22" s="280"/>
      <c r="K22" s="280"/>
      <c r="L22" s="280"/>
      <c r="M22" s="280"/>
      <c r="N22" s="280"/>
      <c r="O22" s="280"/>
    </row>
    <row r="23" spans="1:24" x14ac:dyDescent="0.25">
      <c r="A23" s="29">
        <v>44882</v>
      </c>
      <c r="B23" s="30" t="s">
        <v>42</v>
      </c>
      <c r="C23" s="30" t="s">
        <v>45</v>
      </c>
      <c r="D23" s="30" t="s">
        <v>44</v>
      </c>
      <c r="E23" s="30">
        <v>11</v>
      </c>
      <c r="F23" s="30">
        <v>4.99</v>
      </c>
      <c r="G23" s="31">
        <f t="shared" si="0"/>
        <v>54.89</v>
      </c>
      <c r="I23" s="283" t="s">
        <v>208</v>
      </c>
      <c r="J23" s="283"/>
      <c r="K23" s="283"/>
      <c r="L23" s="283"/>
      <c r="M23" s="283"/>
      <c r="N23" s="283"/>
      <c r="O23" s="283"/>
    </row>
    <row r="24" spans="1:24" x14ac:dyDescent="0.25">
      <c r="A24" s="32">
        <v>44899</v>
      </c>
      <c r="B24" s="33" t="s">
        <v>42</v>
      </c>
      <c r="C24" s="33" t="s">
        <v>45</v>
      </c>
      <c r="D24" s="33" t="s">
        <v>44</v>
      </c>
      <c r="E24" s="33">
        <v>94</v>
      </c>
      <c r="F24" s="33">
        <v>19.989999999999998</v>
      </c>
      <c r="G24" s="34">
        <f t="shared" si="0"/>
        <v>1879.06</v>
      </c>
      <c r="I24" s="280"/>
      <c r="J24" s="280"/>
      <c r="K24" s="280"/>
      <c r="L24" s="280"/>
      <c r="M24" s="280"/>
      <c r="N24" s="280"/>
    </row>
    <row r="25" spans="1:24" x14ac:dyDescent="0.25">
      <c r="A25" s="29">
        <v>44916</v>
      </c>
      <c r="B25" s="30" t="s">
        <v>42</v>
      </c>
      <c r="C25" s="30" t="s">
        <v>49</v>
      </c>
      <c r="D25" s="30" t="s">
        <v>44</v>
      </c>
      <c r="E25" s="30">
        <v>28</v>
      </c>
      <c r="F25" s="30">
        <v>4.99</v>
      </c>
      <c r="G25" s="31">
        <f t="shared" si="0"/>
        <v>139.72</v>
      </c>
      <c r="I25" s="280"/>
      <c r="J25" s="280"/>
      <c r="K25" s="280"/>
      <c r="L25" s="280"/>
      <c r="M25" s="280"/>
      <c r="N25" s="280"/>
    </row>
    <row r="26" spans="1:24" x14ac:dyDescent="0.25">
      <c r="A26" s="32">
        <v>44202</v>
      </c>
      <c r="B26" s="33" t="s">
        <v>54</v>
      </c>
      <c r="C26" s="33" t="s">
        <v>55</v>
      </c>
      <c r="D26" s="33" t="s">
        <v>46</v>
      </c>
      <c r="E26" s="33">
        <v>95</v>
      </c>
      <c r="F26" s="33">
        <v>1.99</v>
      </c>
      <c r="G26" s="34">
        <f t="shared" si="0"/>
        <v>189.05</v>
      </c>
      <c r="I26" s="280"/>
      <c r="J26" s="280"/>
      <c r="K26" s="280"/>
      <c r="L26" s="280"/>
      <c r="M26" s="280"/>
      <c r="N26" s="280"/>
    </row>
    <row r="27" spans="1:24" x14ac:dyDescent="0.25">
      <c r="A27" s="29">
        <v>44287</v>
      </c>
      <c r="B27" s="30" t="s">
        <v>54</v>
      </c>
      <c r="C27" s="30" t="s">
        <v>55</v>
      </c>
      <c r="D27" s="30" t="s">
        <v>44</v>
      </c>
      <c r="E27" s="30">
        <v>60</v>
      </c>
      <c r="F27" s="30">
        <v>4.99</v>
      </c>
      <c r="G27" s="31">
        <f t="shared" si="0"/>
        <v>299.40000000000003</v>
      </c>
      <c r="I27" s="280"/>
      <c r="J27" s="280"/>
      <c r="K27" s="280"/>
      <c r="L27" s="280"/>
      <c r="M27" s="280"/>
      <c r="N27" s="280"/>
    </row>
    <row r="28" spans="1:24" x14ac:dyDescent="0.25">
      <c r="A28" s="32">
        <v>44355</v>
      </c>
      <c r="B28" s="33" t="s">
        <v>54</v>
      </c>
      <c r="C28" s="33" t="s">
        <v>55</v>
      </c>
      <c r="D28" s="33" t="s">
        <v>44</v>
      </c>
      <c r="E28" s="33">
        <v>60</v>
      </c>
      <c r="F28" s="33">
        <v>8.99</v>
      </c>
      <c r="G28" s="34">
        <f t="shared" si="0"/>
        <v>539.4</v>
      </c>
      <c r="I28" s="280"/>
      <c r="J28" s="280"/>
      <c r="K28" s="280"/>
      <c r="L28" s="280"/>
      <c r="M28" s="280"/>
      <c r="N28" s="280"/>
    </row>
    <row r="29" spans="1:24" x14ac:dyDescent="0.25">
      <c r="A29" s="29">
        <v>44389</v>
      </c>
      <c r="B29" s="30" t="s">
        <v>54</v>
      </c>
      <c r="C29" s="30" t="s">
        <v>56</v>
      </c>
      <c r="D29" s="30" t="s">
        <v>44</v>
      </c>
      <c r="E29" s="30">
        <v>29</v>
      </c>
      <c r="F29" s="30">
        <v>1.99</v>
      </c>
      <c r="G29" s="31">
        <f t="shared" si="0"/>
        <v>57.71</v>
      </c>
      <c r="I29" s="280"/>
      <c r="J29" s="280"/>
      <c r="K29" s="280"/>
      <c r="L29" s="280"/>
      <c r="M29" s="280"/>
      <c r="N29" s="280"/>
    </row>
    <row r="30" spans="1:24" x14ac:dyDescent="0.25">
      <c r="A30" s="32">
        <v>44406</v>
      </c>
      <c r="B30" s="33" t="s">
        <v>54</v>
      </c>
      <c r="C30" s="33" t="s">
        <v>57</v>
      </c>
      <c r="D30" s="33" t="s">
        <v>44</v>
      </c>
      <c r="E30" s="33">
        <v>81</v>
      </c>
      <c r="F30" s="33">
        <v>19.989999999999998</v>
      </c>
      <c r="G30" s="34">
        <f t="shared" si="0"/>
        <v>1619.1899999999998</v>
      </c>
      <c r="I30" s="280"/>
      <c r="J30" s="280"/>
      <c r="K30" s="280"/>
      <c r="L30" s="280"/>
      <c r="M30" s="280"/>
      <c r="N30" s="280"/>
    </row>
    <row r="31" spans="1:24" x14ac:dyDescent="0.25">
      <c r="A31" s="29">
        <v>44423</v>
      </c>
      <c r="B31" s="30" t="s">
        <v>54</v>
      </c>
      <c r="C31" s="30" t="s">
        <v>55</v>
      </c>
      <c r="D31" s="30" t="s">
        <v>46</v>
      </c>
      <c r="E31" s="30">
        <v>35</v>
      </c>
      <c r="F31" s="30">
        <v>4.99</v>
      </c>
      <c r="G31" s="31">
        <f t="shared" si="0"/>
        <v>174.65</v>
      </c>
      <c r="I31" s="280"/>
      <c r="J31" s="280"/>
      <c r="K31" s="280"/>
      <c r="L31" s="280"/>
      <c r="M31" s="280"/>
      <c r="N31" s="280"/>
    </row>
    <row r="32" spans="1:24" x14ac:dyDescent="0.25">
      <c r="A32" s="32">
        <v>44457</v>
      </c>
      <c r="B32" s="33" t="s">
        <v>54</v>
      </c>
      <c r="C32" s="33" t="s">
        <v>55</v>
      </c>
      <c r="D32" s="33" t="s">
        <v>53</v>
      </c>
      <c r="E32" s="33">
        <v>16</v>
      </c>
      <c r="F32" s="33">
        <v>15.99</v>
      </c>
      <c r="G32" s="34">
        <f t="shared" si="0"/>
        <v>255.84</v>
      </c>
      <c r="I32" s="280"/>
      <c r="J32" s="280"/>
      <c r="K32" s="280"/>
      <c r="L32" s="280"/>
      <c r="M32" s="280"/>
      <c r="N32" s="280"/>
    </row>
    <row r="33" spans="1:16" x14ac:dyDescent="0.25">
      <c r="A33" s="29">
        <v>44491</v>
      </c>
      <c r="B33" s="30" t="s">
        <v>54</v>
      </c>
      <c r="C33" s="30" t="s">
        <v>55</v>
      </c>
      <c r="D33" s="30" t="s">
        <v>48</v>
      </c>
      <c r="E33" s="30">
        <v>64</v>
      </c>
      <c r="F33" s="30">
        <v>8.99</v>
      </c>
      <c r="G33" s="31">
        <f t="shared" si="0"/>
        <v>575.36</v>
      </c>
      <c r="I33" s="280"/>
      <c r="J33" s="280"/>
      <c r="K33" s="280"/>
      <c r="L33" s="280"/>
      <c r="M33" s="280"/>
      <c r="N33" s="280"/>
    </row>
    <row r="34" spans="1:16" x14ac:dyDescent="0.25">
      <c r="A34" s="32">
        <v>44508</v>
      </c>
      <c r="B34" s="33" t="s">
        <v>54</v>
      </c>
      <c r="C34" s="33" t="s">
        <v>57</v>
      </c>
      <c r="D34" s="33" t="s">
        <v>48</v>
      </c>
      <c r="E34" s="33">
        <v>15</v>
      </c>
      <c r="F34" s="33">
        <v>19.989999999999998</v>
      </c>
      <c r="G34" s="34">
        <f t="shared" si="0"/>
        <v>299.84999999999997</v>
      </c>
      <c r="I34" s="280"/>
      <c r="J34" s="280"/>
      <c r="K34" s="280"/>
      <c r="L34" s="280"/>
      <c r="M34" s="280"/>
      <c r="N34" s="280"/>
    </row>
    <row r="35" spans="1:16" x14ac:dyDescent="0.25">
      <c r="A35" s="29">
        <v>44559</v>
      </c>
      <c r="B35" s="30" t="s">
        <v>54</v>
      </c>
      <c r="C35" s="30" t="s">
        <v>57</v>
      </c>
      <c r="D35" s="30" t="s">
        <v>53</v>
      </c>
      <c r="E35" s="30">
        <v>74</v>
      </c>
      <c r="F35" s="30">
        <v>15.99</v>
      </c>
      <c r="G35" s="31">
        <f t="shared" si="0"/>
        <v>1183.26</v>
      </c>
      <c r="I35" s="282"/>
      <c r="J35" s="282"/>
      <c r="K35" s="282"/>
      <c r="L35" s="282"/>
      <c r="M35" s="282"/>
      <c r="N35" s="282"/>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81"/>
      <c r="J40" s="281"/>
      <c r="K40" s="281"/>
      <c r="L40" s="281"/>
      <c r="M40" s="281"/>
      <c r="N40" s="281"/>
      <c r="O40" s="281"/>
      <c r="P40" s="281"/>
    </row>
    <row r="41" spans="1:16" x14ac:dyDescent="0.25">
      <c r="A41" s="29">
        <v>44627</v>
      </c>
      <c r="B41" s="30" t="s">
        <v>58</v>
      </c>
      <c r="C41" s="30" t="s">
        <v>59</v>
      </c>
      <c r="D41" s="30" t="s">
        <v>44</v>
      </c>
      <c r="E41" s="30">
        <v>7</v>
      </c>
      <c r="F41" s="30">
        <v>19.989999999999998</v>
      </c>
      <c r="G41" s="31">
        <f t="shared" si="0"/>
        <v>139.92999999999998</v>
      </c>
      <c r="I41" s="280"/>
      <c r="J41" s="280"/>
      <c r="K41" s="280"/>
      <c r="L41" s="280"/>
      <c r="M41" s="280"/>
      <c r="N41" s="280"/>
      <c r="O41" s="280"/>
      <c r="P41" s="280"/>
    </row>
    <row r="42" spans="1:16" ht="15" customHeight="1" x14ac:dyDescent="0.25">
      <c r="A42" s="32">
        <v>44797</v>
      </c>
      <c r="B42" s="33" t="s">
        <v>58</v>
      </c>
      <c r="C42" s="33" t="s">
        <v>59</v>
      </c>
      <c r="D42" s="33" t="s">
        <v>52</v>
      </c>
      <c r="E42" s="33">
        <v>3</v>
      </c>
      <c r="F42" s="33">
        <v>275</v>
      </c>
      <c r="G42" s="34">
        <f t="shared" si="0"/>
        <v>825</v>
      </c>
      <c r="I42" s="281" t="s">
        <v>210</v>
      </c>
      <c r="J42" s="281"/>
      <c r="K42" s="281"/>
      <c r="L42" s="281"/>
      <c r="M42" s="281"/>
      <c r="N42" s="281"/>
      <c r="O42" s="281"/>
      <c r="P42" s="281"/>
    </row>
    <row r="43" spans="1:16" x14ac:dyDescent="0.25">
      <c r="A43" s="29">
        <v>44831</v>
      </c>
      <c r="B43" s="30" t="s">
        <v>58</v>
      </c>
      <c r="C43" s="30" t="s">
        <v>59</v>
      </c>
      <c r="D43" s="30" t="s">
        <v>48</v>
      </c>
      <c r="E43" s="30">
        <v>76</v>
      </c>
      <c r="F43" s="30">
        <v>1.99</v>
      </c>
      <c r="G43" s="31">
        <f t="shared" si="0"/>
        <v>151.24</v>
      </c>
      <c r="I43" s="280" t="s">
        <v>211</v>
      </c>
      <c r="J43" s="280"/>
      <c r="K43" s="280"/>
      <c r="L43" s="280"/>
      <c r="M43" s="280"/>
      <c r="N43" s="280"/>
      <c r="O43" s="280"/>
      <c r="P43" s="280"/>
    </row>
    <row r="44" spans="1:16" ht="15" customHeight="1" x14ac:dyDescent="0.25">
      <c r="A44" s="32">
        <v>44848</v>
      </c>
      <c r="B44" s="33" t="s">
        <v>58</v>
      </c>
      <c r="C44" s="33" t="s">
        <v>60</v>
      </c>
      <c r="D44" s="33" t="s">
        <v>44</v>
      </c>
      <c r="E44" s="33">
        <v>57</v>
      </c>
      <c r="F44" s="33">
        <v>19.989999999999998</v>
      </c>
      <c r="G44" s="34">
        <f t="shared" si="0"/>
        <v>1139.4299999999998</v>
      </c>
      <c r="I44" s="284" t="s">
        <v>212</v>
      </c>
      <c r="J44" s="284"/>
      <c r="K44" s="284"/>
      <c r="L44" s="284"/>
      <c r="M44" s="284"/>
      <c r="N44" s="284"/>
      <c r="O44" s="284"/>
      <c r="P44" s="284"/>
    </row>
    <row r="45" spans="1:16" ht="15.75" thickBot="1" x14ac:dyDescent="0.3">
      <c r="A45" s="35"/>
      <c r="B45" s="36"/>
      <c r="C45" s="36"/>
      <c r="D45" s="36"/>
      <c r="E45" s="36"/>
      <c r="F45" s="36"/>
      <c r="G45" s="37"/>
      <c r="I45" s="280"/>
      <c r="J45" s="280"/>
      <c r="K45" s="280"/>
      <c r="L45" s="280"/>
      <c r="M45" s="280"/>
      <c r="N45" s="280"/>
      <c r="O45" s="280"/>
      <c r="P45" s="280"/>
    </row>
    <row r="46" spans="1:16" x14ac:dyDescent="0.25">
      <c r="A46"/>
      <c r="I46" s="280"/>
      <c r="J46" s="280"/>
      <c r="K46" s="280"/>
      <c r="L46" s="280"/>
      <c r="M46" s="280"/>
      <c r="N46" s="280"/>
      <c r="O46" s="280"/>
      <c r="P46" s="280"/>
    </row>
    <row r="47" spans="1:16" x14ac:dyDescent="0.25">
      <c r="A47"/>
      <c r="I47" s="280"/>
      <c r="J47" s="280"/>
      <c r="K47" s="280"/>
      <c r="L47" s="280"/>
      <c r="M47" s="280"/>
      <c r="N47" s="280"/>
      <c r="O47" s="280"/>
      <c r="P47" s="280"/>
    </row>
    <row r="48" spans="1:16" x14ac:dyDescent="0.25">
      <c r="A48"/>
      <c r="I48" s="280"/>
      <c r="J48" s="280"/>
      <c r="K48" s="280"/>
      <c r="L48" s="280"/>
      <c r="M48" s="280"/>
      <c r="N48" s="280"/>
      <c r="O48" s="280"/>
      <c r="P48" s="280"/>
    </row>
    <row r="49" spans="1:16" x14ac:dyDescent="0.25">
      <c r="A49"/>
      <c r="I49" s="280"/>
      <c r="J49" s="280"/>
      <c r="K49" s="280"/>
      <c r="L49" s="280"/>
      <c r="M49" s="280"/>
      <c r="N49" s="280"/>
      <c r="O49" s="280"/>
      <c r="P49" s="280"/>
    </row>
    <row r="50" spans="1:16" x14ac:dyDescent="0.25">
      <c r="A50"/>
      <c r="I50" s="280"/>
      <c r="J50" s="280"/>
      <c r="K50" s="280"/>
      <c r="L50" s="280"/>
      <c r="M50" s="280"/>
      <c r="N50" s="280"/>
      <c r="O50" s="280"/>
      <c r="P50" s="280"/>
    </row>
    <row r="51" spans="1:16" x14ac:dyDescent="0.25">
      <c r="A51"/>
      <c r="I51" s="280"/>
      <c r="J51" s="280"/>
      <c r="K51" s="280"/>
      <c r="L51" s="280"/>
      <c r="M51" s="280"/>
      <c r="N51" s="280"/>
      <c r="O51" s="280"/>
      <c r="P51" s="280"/>
    </row>
    <row r="52" spans="1:16" x14ac:dyDescent="0.25">
      <c r="A52"/>
      <c r="I52" s="280"/>
      <c r="J52" s="280"/>
      <c r="K52" s="280"/>
      <c r="L52" s="280"/>
      <c r="M52" s="280"/>
      <c r="N52" s="280"/>
      <c r="O52" s="280"/>
      <c r="P52" s="280"/>
    </row>
    <row r="53" spans="1:16" x14ac:dyDescent="0.25">
      <c r="A53"/>
      <c r="I53" s="282"/>
      <c r="J53" s="282"/>
      <c r="K53" s="282"/>
      <c r="L53" s="282"/>
      <c r="M53" s="282"/>
      <c r="N53" s="282"/>
      <c r="O53" s="282"/>
      <c r="P53" s="282"/>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42"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86" t="s">
        <v>104</v>
      </c>
      <c r="D1" s="286"/>
      <c r="E1" s="286"/>
      <c r="F1" s="286"/>
      <c r="G1" s="286"/>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86" t="s">
        <v>139</v>
      </c>
      <c r="D18" s="286"/>
      <c r="E18" s="286"/>
      <c r="F18" s="286"/>
      <c r="G18" s="286"/>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87" t="s">
        <v>159</v>
      </c>
      <c r="E34" s="287"/>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86" t="s">
        <v>161</v>
      </c>
      <c r="D39" s="286"/>
      <c r="E39" s="286"/>
      <c r="F39" s="286"/>
      <c r="G39" s="286"/>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85" t="s">
        <v>199</v>
      </c>
      <c r="L41" s="285"/>
    </row>
    <row r="42" spans="3:13" x14ac:dyDescent="0.25">
      <c r="C42" s="75" t="s">
        <v>168</v>
      </c>
      <c r="D42" s="1" t="s">
        <v>107</v>
      </c>
      <c r="E42" s="84">
        <v>60</v>
      </c>
      <c r="F42" s="89">
        <v>42</v>
      </c>
      <c r="G42" s="89">
        <v>35</v>
      </c>
      <c r="H42" s="85">
        <v>65</v>
      </c>
      <c r="K42" s="282" t="s">
        <v>195</v>
      </c>
      <c r="L42" s="282"/>
      <c r="M42" t="s">
        <v>120</v>
      </c>
    </row>
    <row r="43" spans="3:13" x14ac:dyDescent="0.25">
      <c r="C43" s="75" t="s">
        <v>169</v>
      </c>
      <c r="D43" s="1" t="s">
        <v>107</v>
      </c>
      <c r="E43" s="84">
        <v>80</v>
      </c>
      <c r="F43" s="89">
        <v>67</v>
      </c>
      <c r="G43" s="89">
        <v>45</v>
      </c>
      <c r="H43" s="85">
        <v>89</v>
      </c>
      <c r="K43" s="282" t="s">
        <v>194</v>
      </c>
      <c r="L43" s="282"/>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85" t="s">
        <v>204</v>
      </c>
      <c r="L45" s="285"/>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88" t="s">
        <v>196</v>
      </c>
      <c r="D67" s="289"/>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C67:D67"/>
    <mergeCell ref="K41:L41"/>
    <mergeCell ref="K42:L42"/>
    <mergeCell ref="K43:L43"/>
    <mergeCell ref="K45:L45"/>
    <mergeCell ref="C1:G1"/>
    <mergeCell ref="C18:G18"/>
    <mergeCell ref="D34:E34"/>
    <mergeCell ref="C39:G39"/>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118"/>
  <sheetViews>
    <sheetView topLeftCell="A100" zoomScale="115" zoomScaleNormal="115" workbookViewId="0">
      <selection activeCell="D113" sqref="D113"/>
    </sheetView>
  </sheetViews>
  <sheetFormatPr defaultRowHeight="15" x14ac:dyDescent="0.25"/>
  <cols>
    <col min="1" max="1" width="14.5703125" bestFit="1" customWidth="1"/>
    <col min="2" max="2" width="13" customWidth="1"/>
    <col min="3" max="3" width="16.85546875" customWidth="1"/>
    <col min="4" max="4" width="38.5703125" bestFit="1" customWidth="1"/>
    <col min="5" max="5" width="44.140625" customWidth="1"/>
    <col min="6" max="6" width="27.28515625" customWidth="1"/>
    <col min="7" max="7" width="13.85546875" customWidth="1"/>
    <col min="8" max="8" width="8.7109375" bestFit="1" customWidth="1"/>
    <col min="9" max="9" width="8.5703125" customWidth="1"/>
    <col min="10" max="10" width="7.7109375" customWidth="1"/>
    <col min="11" max="11" width="12.7109375" bestFit="1" customWidth="1"/>
    <col min="12" max="12" width="36.28515625" bestFit="1" customWidth="1"/>
    <col min="13" max="13" width="29" customWidth="1"/>
  </cols>
  <sheetData>
    <row r="1" spans="1:12" ht="20.25" customHeight="1" thickBot="1" x14ac:dyDescent="0.3">
      <c r="A1" s="318" t="s">
        <v>257</v>
      </c>
      <c r="B1" s="319"/>
      <c r="C1" s="320"/>
      <c r="D1" s="118" t="s">
        <v>253</v>
      </c>
      <c r="E1" s="118" t="s">
        <v>255</v>
      </c>
      <c r="F1" s="135" t="s">
        <v>384</v>
      </c>
      <c r="L1" s="135" t="s">
        <v>261</v>
      </c>
    </row>
    <row r="2" spans="1:12" ht="15.75" thickBot="1" x14ac:dyDescent="0.3">
      <c r="D2" s="120" t="s">
        <v>254</v>
      </c>
      <c r="E2" s="223" t="s">
        <v>256</v>
      </c>
      <c r="F2" s="235" t="s">
        <v>386</v>
      </c>
      <c r="L2" s="136" t="s">
        <v>271</v>
      </c>
    </row>
    <row r="3" spans="1:12" ht="15.75" thickBot="1" x14ac:dyDescent="0.3">
      <c r="A3" s="54" t="s">
        <v>238</v>
      </c>
      <c r="B3" s="115" t="s">
        <v>249</v>
      </c>
      <c r="C3" s="119" t="s">
        <v>110</v>
      </c>
      <c r="D3" s="121" t="s">
        <v>239</v>
      </c>
      <c r="E3" s="224" t="s">
        <v>252</v>
      </c>
      <c r="F3" s="234" t="s">
        <v>387</v>
      </c>
      <c r="G3" s="228" t="s">
        <v>262</v>
      </c>
      <c r="H3" s="92" t="s">
        <v>222</v>
      </c>
      <c r="I3" s="92" t="s">
        <v>263</v>
      </c>
      <c r="J3" s="92" t="s">
        <v>382</v>
      </c>
      <c r="K3" s="103" t="s">
        <v>264</v>
      </c>
      <c r="L3" s="137" t="s">
        <v>273</v>
      </c>
    </row>
    <row r="4" spans="1:12" x14ac:dyDescent="0.25">
      <c r="A4" s="116" t="s">
        <v>240</v>
      </c>
      <c r="B4" s="58" t="s">
        <v>107</v>
      </c>
      <c r="C4" s="71">
        <v>45</v>
      </c>
      <c r="D4" s="122" t="b">
        <f>AND(B4="Fire",C4&gt;70)</f>
        <v>0</v>
      </c>
      <c r="E4" s="225" t="b">
        <f>OR(B4="Fire",C4&gt;70)</f>
        <v>0</v>
      </c>
      <c r="F4" s="236" t="b">
        <f>_xlfn.XOR(B4="Fire",C4&lt;=60)</f>
        <v>1</v>
      </c>
      <c r="G4" s="229" t="s">
        <v>265</v>
      </c>
      <c r="H4" s="141">
        <v>10</v>
      </c>
      <c r="I4" s="141">
        <v>4</v>
      </c>
      <c r="J4" s="141">
        <v>1</v>
      </c>
      <c r="K4" s="142">
        <v>1</v>
      </c>
      <c r="L4" s="143">
        <f>AVERAGE(H4:K4)</f>
        <v>4</v>
      </c>
    </row>
    <row r="5" spans="1:12" x14ac:dyDescent="0.25">
      <c r="A5" s="113" t="s">
        <v>241</v>
      </c>
      <c r="B5" s="45" t="s">
        <v>107</v>
      </c>
      <c r="C5" s="65">
        <v>60</v>
      </c>
      <c r="D5" s="123" t="b">
        <f t="shared" ref="D5:D12" si="0">AND(B5="Fire",C5&gt;70)</f>
        <v>0</v>
      </c>
      <c r="E5" s="226" t="b">
        <f t="shared" ref="E5:E12" si="1">OR(B5="Fire",C5&gt;70)</f>
        <v>0</v>
      </c>
      <c r="F5" s="237" t="b">
        <f t="shared" ref="F5:F12" si="2">_xlfn.XOR(B5="Fire",C5&lt;=60)</f>
        <v>1</v>
      </c>
      <c r="G5" s="230" t="s">
        <v>266</v>
      </c>
      <c r="H5" s="139">
        <v>12</v>
      </c>
      <c r="I5" s="139">
        <v>3</v>
      </c>
      <c r="J5" s="139">
        <v>4</v>
      </c>
      <c r="K5" s="140">
        <v>1</v>
      </c>
      <c r="L5" s="138">
        <f t="shared" ref="L5:L9" si="3">AVERAGE(H5:K5)</f>
        <v>5</v>
      </c>
    </row>
    <row r="6" spans="1:12" x14ac:dyDescent="0.25">
      <c r="A6" s="113" t="s">
        <v>242</v>
      </c>
      <c r="B6" s="45" t="s">
        <v>107</v>
      </c>
      <c r="C6" s="65">
        <v>80</v>
      </c>
      <c r="D6" s="123" t="b">
        <f t="shared" si="0"/>
        <v>0</v>
      </c>
      <c r="E6" s="226" t="b">
        <f t="shared" si="1"/>
        <v>1</v>
      </c>
      <c r="F6" s="237" t="b">
        <f t="shared" si="2"/>
        <v>0</v>
      </c>
      <c r="G6" s="230" t="s">
        <v>267</v>
      </c>
      <c r="H6" s="139">
        <v>15</v>
      </c>
      <c r="I6" s="139" t="s">
        <v>272</v>
      </c>
      <c r="J6" s="139">
        <v>2</v>
      </c>
      <c r="K6" s="140">
        <v>1</v>
      </c>
      <c r="L6" s="138">
        <f t="shared" si="3"/>
        <v>6</v>
      </c>
    </row>
    <row r="7" spans="1:12" x14ac:dyDescent="0.25">
      <c r="A7" s="113" t="s">
        <v>243</v>
      </c>
      <c r="B7" s="45" t="s">
        <v>108</v>
      </c>
      <c r="C7" s="65">
        <v>55</v>
      </c>
      <c r="D7" s="123" t="b">
        <f t="shared" si="0"/>
        <v>0</v>
      </c>
      <c r="E7" s="226" t="b">
        <f t="shared" si="1"/>
        <v>1</v>
      </c>
      <c r="F7" s="237" t="b">
        <f t="shared" si="2"/>
        <v>0</v>
      </c>
      <c r="G7" s="230" t="s">
        <v>268</v>
      </c>
      <c r="H7" s="139">
        <v>4</v>
      </c>
      <c r="I7" s="139">
        <v>2</v>
      </c>
      <c r="J7" s="139">
        <v>6</v>
      </c>
      <c r="K7" s="140">
        <v>0</v>
      </c>
      <c r="L7" s="138">
        <f t="shared" si="3"/>
        <v>3</v>
      </c>
    </row>
    <row r="8" spans="1:12" x14ac:dyDescent="0.25">
      <c r="A8" s="113" t="s">
        <v>244</v>
      </c>
      <c r="B8" s="45" t="s">
        <v>108</v>
      </c>
      <c r="C8" s="65">
        <v>80</v>
      </c>
      <c r="D8" s="123" t="b">
        <f t="shared" si="0"/>
        <v>1</v>
      </c>
      <c r="E8" s="226" t="b">
        <f t="shared" si="1"/>
        <v>1</v>
      </c>
      <c r="F8" s="237" t="b">
        <f t="shared" si="2"/>
        <v>1</v>
      </c>
      <c r="G8" s="230" t="s">
        <v>269</v>
      </c>
      <c r="H8" s="139">
        <v>10</v>
      </c>
      <c r="I8" s="139">
        <v>4</v>
      </c>
      <c r="J8" s="139">
        <v>1</v>
      </c>
      <c r="K8" s="140">
        <v>1</v>
      </c>
      <c r="L8" s="138">
        <f t="shared" si="3"/>
        <v>4</v>
      </c>
    </row>
    <row r="9" spans="1:12" ht="15.75" thickBot="1" x14ac:dyDescent="0.3">
      <c r="A9" s="113" t="s">
        <v>245</v>
      </c>
      <c r="B9" s="45" t="s">
        <v>108</v>
      </c>
      <c r="C9" s="65">
        <v>100</v>
      </c>
      <c r="D9" s="123" t="b">
        <f t="shared" si="0"/>
        <v>1</v>
      </c>
      <c r="E9" s="226" t="b">
        <f t="shared" si="1"/>
        <v>1</v>
      </c>
      <c r="F9" s="237" t="b">
        <f>_xlfn.XOR(B9="Fire",C9&lt;=60)</f>
        <v>1</v>
      </c>
      <c r="G9" s="231" t="s">
        <v>270</v>
      </c>
      <c r="H9" s="145">
        <v>9</v>
      </c>
      <c r="I9" s="145">
        <v>2</v>
      </c>
      <c r="J9" s="144">
        <v>1</v>
      </c>
      <c r="K9" s="149">
        <v>0</v>
      </c>
      <c r="L9" s="148">
        <f t="shared" si="3"/>
        <v>3</v>
      </c>
    </row>
    <row r="10" spans="1:12" ht="15.75" thickBot="1" x14ac:dyDescent="0.3">
      <c r="A10" s="113" t="s">
        <v>246</v>
      </c>
      <c r="B10" s="45" t="s">
        <v>109</v>
      </c>
      <c r="C10" s="65">
        <v>43</v>
      </c>
      <c r="D10" s="123" t="b">
        <f t="shared" si="0"/>
        <v>0</v>
      </c>
      <c r="E10" s="226" t="b">
        <f t="shared" si="1"/>
        <v>0</v>
      </c>
      <c r="F10" s="237" t="b">
        <f t="shared" si="2"/>
        <v>1</v>
      </c>
      <c r="G10" s="232" t="s">
        <v>238</v>
      </c>
      <c r="H10" s="146" t="s">
        <v>124</v>
      </c>
      <c r="I10" s="147" t="s">
        <v>110</v>
      </c>
      <c r="K10" s="150"/>
      <c r="L10" s="152" t="s">
        <v>274</v>
      </c>
    </row>
    <row r="11" spans="1:12" ht="15.75" thickBot="1" x14ac:dyDescent="0.3">
      <c r="A11" s="113" t="s">
        <v>247</v>
      </c>
      <c r="B11" s="45" t="s">
        <v>109</v>
      </c>
      <c r="C11" s="65">
        <v>70</v>
      </c>
      <c r="D11" s="123" t="b">
        <f t="shared" si="0"/>
        <v>0</v>
      </c>
      <c r="E11" s="226" t="b">
        <f t="shared" si="1"/>
        <v>0</v>
      </c>
      <c r="F11" s="237" t="b">
        <f t="shared" si="2"/>
        <v>0</v>
      </c>
      <c r="G11" s="233" t="s">
        <v>240</v>
      </c>
      <c r="H11" s="81" t="s">
        <v>107</v>
      </c>
      <c r="I11" s="211">
        <v>45</v>
      </c>
      <c r="K11" s="150" t="s">
        <v>275</v>
      </c>
      <c r="L11" s="153" t="s">
        <v>276</v>
      </c>
    </row>
    <row r="12" spans="1:12" ht="15.75" thickBot="1" x14ac:dyDescent="0.3">
      <c r="A12" s="114" t="s">
        <v>248</v>
      </c>
      <c r="B12" s="48" t="s">
        <v>109</v>
      </c>
      <c r="C12" s="66">
        <v>78</v>
      </c>
      <c r="D12" s="124" t="b">
        <f t="shared" si="0"/>
        <v>0</v>
      </c>
      <c r="E12" s="227" t="b">
        <f t="shared" si="1"/>
        <v>1</v>
      </c>
      <c r="F12" s="238" t="b">
        <f t="shared" si="2"/>
        <v>0</v>
      </c>
      <c r="G12" s="105" t="s">
        <v>241</v>
      </c>
      <c r="H12" s="1" t="s">
        <v>107</v>
      </c>
      <c r="I12" s="140">
        <v>60</v>
      </c>
      <c r="K12" s="151" t="s">
        <v>107</v>
      </c>
      <c r="L12" s="154">
        <f>AVERAGEIF(H$11:H$19, K12, I$11:I$19)</f>
        <v>61.666666666666664</v>
      </c>
    </row>
    <row r="13" spans="1:12" x14ac:dyDescent="0.25">
      <c r="A13" t="s">
        <v>166</v>
      </c>
      <c r="G13" s="75" t="s">
        <v>242</v>
      </c>
      <c r="H13" s="1" t="s">
        <v>107</v>
      </c>
      <c r="I13" s="140">
        <v>80</v>
      </c>
      <c r="K13" s="75" t="s">
        <v>108</v>
      </c>
      <c r="L13" s="154">
        <f t="shared" ref="L13:L14" si="4">AVERAGEIF(H$11:H$19, K13, I$11:I$19)</f>
        <v>81.666666666666671</v>
      </c>
    </row>
    <row r="14" spans="1:12" ht="15.75" thickBot="1" x14ac:dyDescent="0.3">
      <c r="G14" s="75" t="s">
        <v>243</v>
      </c>
      <c r="H14" s="1" t="s">
        <v>108</v>
      </c>
      <c r="I14" s="140">
        <v>65</v>
      </c>
      <c r="K14" s="77" t="s">
        <v>109</v>
      </c>
      <c r="L14" s="155">
        <f t="shared" si="4"/>
        <v>59.666666666666664</v>
      </c>
    </row>
    <row r="15" spans="1:12" ht="18.75" customHeight="1" thickBot="1" x14ac:dyDescent="0.3">
      <c r="A15" s="321" t="s">
        <v>259</v>
      </c>
      <c r="B15" s="321"/>
      <c r="C15" s="321"/>
      <c r="D15" s="321"/>
      <c r="E15" s="321"/>
      <c r="F15" s="321"/>
      <c r="G15" s="75" t="s">
        <v>244</v>
      </c>
      <c r="H15" s="1" t="s">
        <v>108</v>
      </c>
      <c r="I15" s="140">
        <v>80</v>
      </c>
    </row>
    <row r="16" spans="1:12" ht="20.25" customHeight="1" thickBot="1" x14ac:dyDescent="0.3">
      <c r="A16" s="125"/>
      <c r="B16" s="126"/>
      <c r="C16" s="126"/>
      <c r="D16" s="127" t="s">
        <v>258</v>
      </c>
      <c r="E16" s="159" t="s">
        <v>260</v>
      </c>
      <c r="G16" s="75" t="s">
        <v>245</v>
      </c>
      <c r="H16" s="1" t="s">
        <v>108</v>
      </c>
      <c r="I16" s="140">
        <v>100</v>
      </c>
    </row>
    <row r="17" spans="1:15" ht="15.75" thickBot="1" x14ac:dyDescent="0.3">
      <c r="A17" s="54" t="s">
        <v>238</v>
      </c>
      <c r="B17" s="115" t="s">
        <v>249</v>
      </c>
      <c r="C17" s="115" t="s">
        <v>110</v>
      </c>
      <c r="D17" s="117" t="s">
        <v>239</v>
      </c>
      <c r="E17" s="118" t="s">
        <v>252</v>
      </c>
      <c r="G17" s="75" t="s">
        <v>246</v>
      </c>
      <c r="H17" s="1" t="s">
        <v>109</v>
      </c>
      <c r="I17" s="140">
        <v>43</v>
      </c>
    </row>
    <row r="18" spans="1:15" x14ac:dyDescent="0.25">
      <c r="A18" s="130" t="s">
        <v>240</v>
      </c>
      <c r="B18" s="52" t="s">
        <v>107</v>
      </c>
      <c r="C18" s="52">
        <v>70</v>
      </c>
      <c r="D18" s="131" t="str">
        <f t="shared" ref="D18:D26" si="5">IF(AND(B18="Fire",C18&gt;=70),"Yes","No")</f>
        <v>No</v>
      </c>
      <c r="E18" s="132" t="str">
        <f>IF(OR(B18="Fire",C18&gt;=70),"Yes","No")</f>
        <v>Yes</v>
      </c>
      <c r="G18" s="75" t="s">
        <v>247</v>
      </c>
      <c r="H18" s="1" t="s">
        <v>109</v>
      </c>
      <c r="I18" s="140">
        <v>58</v>
      </c>
    </row>
    <row r="19" spans="1:15" ht="15.75" thickBot="1" x14ac:dyDescent="0.3">
      <c r="A19" s="113" t="s">
        <v>241</v>
      </c>
      <c r="B19" s="45" t="s">
        <v>107</v>
      </c>
      <c r="C19" s="45">
        <v>60</v>
      </c>
      <c r="D19" s="128" t="str">
        <f t="shared" si="5"/>
        <v>No</v>
      </c>
      <c r="E19" s="133" t="str">
        <f t="shared" ref="E19:E26" si="6">IF(OR(B19="Fire",C19&gt;=70),"Yes","No")</f>
        <v>No</v>
      </c>
      <c r="G19" s="77" t="s">
        <v>248</v>
      </c>
      <c r="H19" s="78" t="s">
        <v>109</v>
      </c>
      <c r="I19" s="210">
        <v>78</v>
      </c>
    </row>
    <row r="20" spans="1:15" x14ac:dyDescent="0.25">
      <c r="A20" s="113" t="s">
        <v>242</v>
      </c>
      <c r="B20" s="45" t="s">
        <v>107</v>
      </c>
      <c r="C20" s="45">
        <v>80</v>
      </c>
      <c r="D20" s="128" t="str">
        <f t="shared" si="5"/>
        <v>No</v>
      </c>
      <c r="E20" s="133" t="str">
        <f t="shared" si="6"/>
        <v>Yes</v>
      </c>
      <c r="G20" t="s">
        <v>166</v>
      </c>
    </row>
    <row r="21" spans="1:15" x14ac:dyDescent="0.25">
      <c r="A21" s="113" t="s">
        <v>243</v>
      </c>
      <c r="B21" s="45" t="s">
        <v>108</v>
      </c>
      <c r="C21" s="45">
        <v>65</v>
      </c>
      <c r="D21" s="128" t="str">
        <f t="shared" si="5"/>
        <v>No</v>
      </c>
      <c r="E21" s="133" t="str">
        <f t="shared" si="6"/>
        <v>Yes</v>
      </c>
    </row>
    <row r="22" spans="1:15" x14ac:dyDescent="0.25">
      <c r="A22" s="113" t="s">
        <v>244</v>
      </c>
      <c r="B22" s="45" t="s">
        <v>108</v>
      </c>
      <c r="C22" s="45">
        <v>80</v>
      </c>
      <c r="D22" s="128" t="str">
        <f t="shared" si="5"/>
        <v>Yes</v>
      </c>
      <c r="E22" s="133" t="str">
        <f t="shared" si="6"/>
        <v>Yes</v>
      </c>
    </row>
    <row r="23" spans="1:15" x14ac:dyDescent="0.25">
      <c r="A23" s="113" t="s">
        <v>245</v>
      </c>
      <c r="B23" s="45" t="s">
        <v>108</v>
      </c>
      <c r="C23" s="45">
        <v>100</v>
      </c>
      <c r="D23" s="128" t="str">
        <f t="shared" si="5"/>
        <v>Yes</v>
      </c>
      <c r="E23" s="133" t="str">
        <f t="shared" si="6"/>
        <v>Yes</v>
      </c>
    </row>
    <row r="24" spans="1:15" x14ac:dyDescent="0.25">
      <c r="A24" s="113" t="s">
        <v>246</v>
      </c>
      <c r="B24" s="45" t="s">
        <v>109</v>
      </c>
      <c r="C24" s="45">
        <v>43</v>
      </c>
      <c r="D24" s="128" t="str">
        <f t="shared" si="5"/>
        <v>No</v>
      </c>
      <c r="E24" s="133" t="str">
        <f t="shared" si="6"/>
        <v>No</v>
      </c>
    </row>
    <row r="25" spans="1:15" x14ac:dyDescent="0.25">
      <c r="A25" s="113" t="s">
        <v>247</v>
      </c>
      <c r="B25" s="45" t="s">
        <v>108</v>
      </c>
      <c r="C25" s="45">
        <v>70</v>
      </c>
      <c r="D25" s="128" t="str">
        <f t="shared" si="5"/>
        <v>Yes</v>
      </c>
      <c r="E25" s="133" t="str">
        <f t="shared" si="6"/>
        <v>Yes</v>
      </c>
    </row>
    <row r="26" spans="1:15" ht="15.75" thickBot="1" x14ac:dyDescent="0.3">
      <c r="A26" s="114" t="s">
        <v>248</v>
      </c>
      <c r="B26" s="48" t="s">
        <v>109</v>
      </c>
      <c r="C26" s="48">
        <v>78</v>
      </c>
      <c r="D26" s="129" t="str">
        <f t="shared" si="5"/>
        <v>No</v>
      </c>
      <c r="E26" s="134" t="str">
        <f t="shared" si="6"/>
        <v>Yes</v>
      </c>
    </row>
    <row r="29" spans="1:15" ht="15.75" thickBot="1" x14ac:dyDescent="0.3">
      <c r="D29" s="10"/>
    </row>
    <row r="30" spans="1:15" ht="15.75" thickBot="1" x14ac:dyDescent="0.3">
      <c r="A30" s="156" t="s">
        <v>238</v>
      </c>
      <c r="B30" s="157" t="s">
        <v>124</v>
      </c>
      <c r="C30" s="157" t="s">
        <v>277</v>
      </c>
      <c r="D30" s="158"/>
      <c r="E30" s="303" t="s">
        <v>330</v>
      </c>
      <c r="F30" s="304"/>
      <c r="G30" s="304"/>
      <c r="H30" s="304"/>
      <c r="I30" s="304"/>
      <c r="J30" s="304"/>
      <c r="K30" s="304"/>
      <c r="L30" s="304"/>
      <c r="M30" s="304"/>
      <c r="N30" s="304"/>
      <c r="O30" s="305"/>
    </row>
    <row r="31" spans="1:15" ht="15.75" thickBot="1" x14ac:dyDescent="0.3">
      <c r="A31" s="167" t="s">
        <v>297</v>
      </c>
      <c r="B31" s="27" t="s">
        <v>108</v>
      </c>
      <c r="C31" s="27">
        <v>305</v>
      </c>
      <c r="D31" s="28" t="str">
        <f>_xlfn.CONCAT(A31,", ",B31)</f>
        <v>Mankey, Fire</v>
      </c>
      <c r="E31" s="300" t="s">
        <v>329</v>
      </c>
      <c r="F31" s="301"/>
      <c r="G31" s="301"/>
      <c r="H31" s="301"/>
      <c r="I31" s="301"/>
      <c r="J31" s="301"/>
      <c r="K31" s="301"/>
      <c r="L31" s="301"/>
      <c r="M31" s="301"/>
      <c r="N31" s="301"/>
      <c r="O31" s="302"/>
    </row>
    <row r="32" spans="1:15" x14ac:dyDescent="0.25">
      <c r="A32" s="160" t="s">
        <v>278</v>
      </c>
      <c r="B32" t="s">
        <v>109</v>
      </c>
      <c r="C32">
        <v>510</v>
      </c>
      <c r="D32" s="161" t="str">
        <f t="shared" ref="D32:D50" si="7">_xlfn.CONCAT(A32,", ",B32)</f>
        <v xml:space="preserve">    Poliwrath, Water</v>
      </c>
      <c r="E32" s="167" t="str">
        <f>_xlfn.CONCAT(TRIM(A31),", ",TRIM(A32))</f>
        <v>Mankey, Poliwrath</v>
      </c>
      <c r="F32" s="27"/>
      <c r="G32" s="27"/>
      <c r="H32" s="27"/>
      <c r="I32" s="27"/>
      <c r="J32" s="27"/>
      <c r="K32" s="27"/>
      <c r="L32" s="27"/>
      <c r="M32" s="27"/>
      <c r="N32" s="27"/>
      <c r="O32" s="28"/>
    </row>
    <row r="33" spans="1:15" x14ac:dyDescent="0.25">
      <c r="A33" s="160" t="s">
        <v>279</v>
      </c>
      <c r="B33" t="s">
        <v>107</v>
      </c>
      <c r="C33">
        <v>490</v>
      </c>
      <c r="D33" s="161" t="str">
        <f t="shared" si="7"/>
        <v xml:space="preserve">    Victreebel, Grass</v>
      </c>
      <c r="E33" s="160" t="str">
        <f>_xlfn.CONCAT(E32,", ",TRIM(A33))</f>
        <v>Mankey, Poliwrath, Victreebel</v>
      </c>
      <c r="O33" s="161"/>
    </row>
    <row r="34" spans="1:15" x14ac:dyDescent="0.25">
      <c r="A34" s="160" t="s">
        <v>280</v>
      </c>
      <c r="B34" t="s">
        <v>109</v>
      </c>
      <c r="C34">
        <v>335</v>
      </c>
      <c r="D34" s="161" t="str">
        <f t="shared" si="7"/>
        <v xml:space="preserve">    Tentacool, Water</v>
      </c>
      <c r="E34" s="160" t="str">
        <f t="shared" ref="E34:E50" si="8">_xlfn.CONCAT(E33,", ",TRIM(A34))</f>
        <v>Mankey, Poliwrath, Victreebel, Tentacool</v>
      </c>
      <c r="O34" s="161"/>
    </row>
    <row r="35" spans="1:15" x14ac:dyDescent="0.25">
      <c r="A35" s="160" t="s">
        <v>281</v>
      </c>
      <c r="B35" t="s">
        <v>130</v>
      </c>
      <c r="C35">
        <v>465</v>
      </c>
      <c r="D35" s="161" t="str">
        <f t="shared" si="7"/>
        <v xml:space="preserve">    Magneton, Electric</v>
      </c>
      <c r="E35" s="160" t="str">
        <f t="shared" si="8"/>
        <v>Mankey, Poliwrath, Victreebel, Tentacool, Magneton</v>
      </c>
      <c r="O35" s="161"/>
    </row>
    <row r="36" spans="1:15" x14ac:dyDescent="0.25">
      <c r="A36" s="160" t="s">
        <v>282</v>
      </c>
      <c r="B36" t="s">
        <v>109</v>
      </c>
      <c r="C36">
        <v>475</v>
      </c>
      <c r="D36" s="161" t="str">
        <f t="shared" si="7"/>
        <v xml:space="preserve">    Dewgong, Water</v>
      </c>
      <c r="E36" s="160" t="str">
        <f t="shared" si="8"/>
        <v>Mankey, Poliwrath, Victreebel, Tentacool, Magneton, Dewgong</v>
      </c>
      <c r="O36" s="161"/>
    </row>
    <row r="37" spans="1:15" x14ac:dyDescent="0.25">
      <c r="A37" s="160" t="s">
        <v>283</v>
      </c>
      <c r="B37" t="s">
        <v>109</v>
      </c>
      <c r="C37">
        <v>525</v>
      </c>
      <c r="D37" s="161" t="str">
        <f t="shared" si="7"/>
        <v xml:space="preserve">    Cloyster, Water</v>
      </c>
      <c r="E37" s="160" t="str">
        <f t="shared" si="8"/>
        <v>Mankey, Poliwrath, Victreebel, Tentacool, Magneton, Dewgong, Cloyster</v>
      </c>
      <c r="O37" s="161"/>
    </row>
    <row r="38" spans="1:15" x14ac:dyDescent="0.25">
      <c r="A38" s="160" t="s">
        <v>284</v>
      </c>
      <c r="B38" t="s">
        <v>285</v>
      </c>
      <c r="C38">
        <v>385</v>
      </c>
      <c r="D38" s="161" t="str">
        <f t="shared" si="7"/>
        <v xml:space="preserve">    Onix, Rock</v>
      </c>
      <c r="E38" s="160" t="str">
        <f t="shared" si="8"/>
        <v>Mankey, Poliwrath, Victreebel, Tentacool, Magneton, Dewgong, Cloyster, Onix</v>
      </c>
      <c r="O38" s="161"/>
    </row>
    <row r="39" spans="1:15" x14ac:dyDescent="0.25">
      <c r="A39" s="160" t="s">
        <v>286</v>
      </c>
      <c r="B39" t="s">
        <v>107</v>
      </c>
      <c r="C39">
        <v>420</v>
      </c>
      <c r="D39" s="161" t="str">
        <f t="shared" si="7"/>
        <v xml:space="preserve">    Dragonair, Grass</v>
      </c>
      <c r="E39" s="160" t="str">
        <f t="shared" si="8"/>
        <v>Mankey, Poliwrath, Victreebel, Tentacool, Magneton, Dewgong, Cloyster, Onix, Dragonair</v>
      </c>
      <c r="O39" s="161"/>
    </row>
    <row r="40" spans="1:15" x14ac:dyDescent="0.25">
      <c r="A40" s="160" t="s">
        <v>287</v>
      </c>
      <c r="B40" t="s">
        <v>163</v>
      </c>
      <c r="C40">
        <v>349</v>
      </c>
      <c r="D40" s="161" t="str">
        <f t="shared" si="7"/>
        <v xml:space="preserve">    Pidgeotto, Normal</v>
      </c>
      <c r="E40" s="160" t="str">
        <f t="shared" si="8"/>
        <v>Mankey, Poliwrath, Victreebel, Tentacool, Magneton, Dewgong, Cloyster, Onix, Dragonair, Pidgeotto</v>
      </c>
      <c r="O40" s="161"/>
    </row>
    <row r="41" spans="1:15" x14ac:dyDescent="0.25">
      <c r="A41" s="160" t="s">
        <v>288</v>
      </c>
      <c r="B41" t="s">
        <v>163</v>
      </c>
      <c r="C41">
        <v>253</v>
      </c>
      <c r="D41" s="161" t="str">
        <f t="shared" si="7"/>
        <v xml:space="preserve">    Rattata, Normal</v>
      </c>
      <c r="E41" s="160" t="str">
        <f t="shared" si="8"/>
        <v>Mankey, Poliwrath, Victreebel, Tentacool, Magneton, Dewgong, Cloyster, Onix, Dragonair, Pidgeotto, Rattata</v>
      </c>
      <c r="O41" s="161"/>
    </row>
    <row r="42" spans="1:15" x14ac:dyDescent="0.25">
      <c r="A42" s="160" t="s">
        <v>289</v>
      </c>
      <c r="B42" t="s">
        <v>162</v>
      </c>
      <c r="C42">
        <v>395</v>
      </c>
      <c r="D42" s="161" t="str">
        <f t="shared" si="7"/>
        <v xml:space="preserve">    Beedrill, Bug</v>
      </c>
      <c r="E42" s="160" t="str">
        <f t="shared" si="8"/>
        <v>Mankey, Poliwrath, Victreebel, Tentacool, Magneton, Dewgong, Cloyster, Onix, Dragonair, Pidgeotto, Rattata, Beedrill</v>
      </c>
      <c r="O42" s="161"/>
    </row>
    <row r="43" spans="1:15" x14ac:dyDescent="0.25">
      <c r="A43" s="160" t="s">
        <v>290</v>
      </c>
      <c r="B43" t="s">
        <v>163</v>
      </c>
      <c r="C43">
        <v>310</v>
      </c>
      <c r="D43" s="161" t="str">
        <f t="shared" si="7"/>
        <v xml:space="preserve">    Doduo, Normal</v>
      </c>
      <c r="E43" s="160" t="str">
        <f t="shared" si="8"/>
        <v>Mankey, Poliwrath, Victreebel, Tentacool, Magneton, Dewgong, Cloyster, Onix, Dragonair, Pidgeotto, Rattata, Beedrill, Doduo</v>
      </c>
      <c r="O43" s="161"/>
    </row>
    <row r="44" spans="1:15" x14ac:dyDescent="0.25">
      <c r="A44" s="160" t="s">
        <v>291</v>
      </c>
      <c r="B44" t="s">
        <v>109</v>
      </c>
      <c r="C44">
        <v>475</v>
      </c>
      <c r="D44" s="161" t="str">
        <f t="shared" si="7"/>
        <v xml:space="preserve">    Kingler, Water</v>
      </c>
      <c r="E44" s="160" t="str">
        <f t="shared" si="8"/>
        <v>Mankey, Poliwrath, Victreebel, Tentacool, Magneton, Dewgong, Cloyster, Onix, Dragonair, Pidgeotto, Rattata, Beedrill, Doduo, Kingler</v>
      </c>
      <c r="O44" s="161"/>
    </row>
    <row r="45" spans="1:15" x14ac:dyDescent="0.25">
      <c r="A45" s="160" t="s">
        <v>292</v>
      </c>
      <c r="B45" t="s">
        <v>163</v>
      </c>
      <c r="C45">
        <v>505</v>
      </c>
      <c r="D45" s="161" t="str">
        <f t="shared" si="7"/>
        <v xml:space="preserve">    Nidoqueen, Normal</v>
      </c>
      <c r="E45" s="160" t="str">
        <f t="shared" si="8"/>
        <v>Mankey, Poliwrath, Victreebel, Tentacool, Magneton, Dewgong, Cloyster, Onix, Dragonair, Pidgeotto, Rattata, Beedrill, Doduo, Kingler, Nidoqueen</v>
      </c>
      <c r="O45" s="161"/>
    </row>
    <row r="46" spans="1:15" x14ac:dyDescent="0.25">
      <c r="A46" s="160" t="s">
        <v>293</v>
      </c>
      <c r="B46" t="s">
        <v>108</v>
      </c>
      <c r="C46">
        <v>455</v>
      </c>
      <c r="D46" s="161" t="str">
        <f t="shared" si="7"/>
        <v xml:space="preserve">    Hitmonchan, Fire</v>
      </c>
      <c r="E46" s="160" t="str">
        <f t="shared" si="8"/>
        <v>Mankey, Poliwrath, Victreebel, Tentacool, Magneton, Dewgong, Cloyster, Onix, Dragonair, Pidgeotto, Rattata, Beedrill, Doduo, Kingler, Nidoqueen, Hitmonchan</v>
      </c>
      <c r="O46" s="161"/>
    </row>
    <row r="47" spans="1:15" x14ac:dyDescent="0.25">
      <c r="A47" s="160" t="s">
        <v>244</v>
      </c>
      <c r="B47" t="s">
        <v>108</v>
      </c>
      <c r="C47">
        <v>405</v>
      </c>
      <c r="D47" s="161" t="str">
        <f t="shared" si="7"/>
        <v xml:space="preserve">    Charmeleon, Fire</v>
      </c>
      <c r="E47" s="160" t="str">
        <f t="shared" si="8"/>
        <v>Mankey, Poliwrath, Victreebel, Tentacool, Magneton, Dewgong, Cloyster, Onix, Dragonair, Pidgeotto, Rattata, Beedrill, Doduo, Kingler, Nidoqueen, Hitmonchan, Charmeleon</v>
      </c>
      <c r="O47" s="161"/>
    </row>
    <row r="48" spans="1:15" x14ac:dyDescent="0.25">
      <c r="A48" s="160" t="s">
        <v>294</v>
      </c>
      <c r="B48" t="s">
        <v>163</v>
      </c>
      <c r="C48">
        <v>438</v>
      </c>
      <c r="D48" s="161" t="str">
        <f t="shared" si="7"/>
        <v xml:space="preserve">    Arbok, Normal</v>
      </c>
      <c r="E48" s="160" t="str">
        <f t="shared" si="8"/>
        <v>Mankey, Poliwrath, Victreebel, Tentacool, Magneton, Dewgong, Cloyster, Onix, Dragonair, Pidgeotto, Rattata, Beedrill, Doduo, Kingler, Nidoqueen, Hitmonchan, Charmeleon, Arbok</v>
      </c>
      <c r="O48" s="161"/>
    </row>
    <row r="49" spans="1:15" x14ac:dyDescent="0.25">
      <c r="A49" s="160" t="s">
        <v>295</v>
      </c>
      <c r="B49" t="s">
        <v>162</v>
      </c>
      <c r="C49">
        <v>310</v>
      </c>
      <c r="D49" s="161" t="str">
        <f t="shared" si="7"/>
        <v xml:space="preserve">    Gastly, Bug</v>
      </c>
      <c r="E49" s="160" t="str">
        <f t="shared" si="8"/>
        <v>Mankey, Poliwrath, Victreebel, Tentacool, Magneton, Dewgong, Cloyster, Onix, Dragonair, Pidgeotto, Rattata, Beedrill, Doduo, Kingler, Nidoqueen, Hitmonchan, Charmeleon, Arbok, Gastly</v>
      </c>
      <c r="O49" s="161"/>
    </row>
    <row r="50" spans="1:15" ht="15.75" thickBot="1" x14ac:dyDescent="0.3">
      <c r="A50" s="162" t="s">
        <v>296</v>
      </c>
      <c r="B50" s="163" t="s">
        <v>109</v>
      </c>
      <c r="C50" s="163">
        <v>200</v>
      </c>
      <c r="D50" s="164" t="str">
        <f t="shared" si="7"/>
        <v xml:space="preserve">    Magikarp, Water</v>
      </c>
      <c r="E50" s="162" t="str">
        <f t="shared" si="8"/>
        <v>Mankey, Poliwrath, Victreebel, Tentacool, Magneton, Dewgong, Cloyster, Onix, Dragonair, Pidgeotto, Rattata, Beedrill, Doduo, Kingler, Nidoqueen, Hitmonchan, Charmeleon, Arbok, Gastly, Magikarp</v>
      </c>
      <c r="F50" s="163"/>
      <c r="G50" s="163"/>
      <c r="H50" s="163"/>
      <c r="I50" s="163"/>
      <c r="J50" s="163"/>
      <c r="K50" s="163"/>
      <c r="L50" s="163"/>
      <c r="M50" s="163"/>
      <c r="N50" s="163"/>
      <c r="O50" s="164"/>
    </row>
    <row r="51" spans="1:15" x14ac:dyDescent="0.25">
      <c r="A51" t="s">
        <v>166</v>
      </c>
    </row>
    <row r="52" spans="1:15" ht="15.75" thickBot="1" x14ac:dyDescent="0.3"/>
    <row r="53" spans="1:15" ht="15.75" thickBot="1" x14ac:dyDescent="0.3">
      <c r="A53" s="309" t="s">
        <v>331</v>
      </c>
      <c r="B53" s="310"/>
      <c r="C53" s="310"/>
      <c r="D53" s="311"/>
      <c r="E53" s="308" t="s">
        <v>320</v>
      </c>
      <c r="F53" s="307"/>
      <c r="K53" s="177" t="s">
        <v>322</v>
      </c>
      <c r="L53" s="176" t="s">
        <v>332</v>
      </c>
    </row>
    <row r="54" spans="1:15" ht="15.75" thickBot="1" x14ac:dyDescent="0.3">
      <c r="A54" s="300" t="s">
        <v>313</v>
      </c>
      <c r="B54" s="301"/>
      <c r="C54" s="301"/>
      <c r="D54" s="302"/>
      <c r="E54" s="314" t="s">
        <v>325</v>
      </c>
      <c r="F54" s="315"/>
      <c r="K54" s="178" t="s">
        <v>107</v>
      </c>
      <c r="L54" s="28">
        <f>COUNTIF(B$31:B$50,K54)</f>
        <v>2</v>
      </c>
    </row>
    <row r="55" spans="1:15" ht="15.75" thickBot="1" x14ac:dyDescent="0.3">
      <c r="A55" s="160" t="s">
        <v>278</v>
      </c>
      <c r="B55" t="str">
        <f>TRIM(A55)</f>
        <v>Poliwrath</v>
      </c>
      <c r="C55">
        <v>253</v>
      </c>
      <c r="D55" s="161"/>
      <c r="E55" s="316"/>
      <c r="F55" s="317"/>
      <c r="K55" s="165" t="s">
        <v>109</v>
      </c>
      <c r="L55" s="161">
        <f t="shared" ref="L55:L60" si="9">COUNTIF(B$31:B$50,K55)</f>
        <v>6</v>
      </c>
    </row>
    <row r="56" spans="1:15" ht="15.75" thickBot="1" x14ac:dyDescent="0.3">
      <c r="A56" s="160" t="s">
        <v>279</v>
      </c>
      <c r="B56" t="str">
        <f t="shared" ref="B56:B64" si="10">TRIM(A56)</f>
        <v>Victreebel</v>
      </c>
      <c r="C56">
        <v>395</v>
      </c>
      <c r="D56" s="161"/>
      <c r="E56" s="171" t="s">
        <v>323</v>
      </c>
      <c r="F56" s="161">
        <f>COUNTBLANK(A55:A64)</f>
        <v>2</v>
      </c>
      <c r="K56" s="165" t="s">
        <v>130</v>
      </c>
      <c r="L56" s="161">
        <f t="shared" si="9"/>
        <v>1</v>
      </c>
    </row>
    <row r="57" spans="1:15" ht="15.75" thickBot="1" x14ac:dyDescent="0.3">
      <c r="A57" s="160"/>
      <c r="B57" t="str">
        <f t="shared" si="10"/>
        <v/>
      </c>
      <c r="C57">
        <v>310</v>
      </c>
      <c r="E57" s="312" t="s">
        <v>327</v>
      </c>
      <c r="F57" s="313"/>
      <c r="K57" s="165" t="s">
        <v>162</v>
      </c>
      <c r="L57" s="161">
        <f t="shared" si="9"/>
        <v>2</v>
      </c>
    </row>
    <row r="58" spans="1:15" x14ac:dyDescent="0.25">
      <c r="A58" s="160" t="s">
        <v>281</v>
      </c>
      <c r="B58" t="str">
        <f t="shared" si="10"/>
        <v>Magneton</v>
      </c>
      <c r="C58">
        <v>475</v>
      </c>
      <c r="E58" s="173" t="s">
        <v>324</v>
      </c>
      <c r="F58" s="161">
        <f>COUNT(B31:B50)</f>
        <v>0</v>
      </c>
      <c r="K58" s="165" t="s">
        <v>285</v>
      </c>
      <c r="L58" s="161">
        <f t="shared" si="9"/>
        <v>1</v>
      </c>
    </row>
    <row r="59" spans="1:15" ht="15.75" thickBot="1" x14ac:dyDescent="0.3">
      <c r="A59" s="160" t="s">
        <v>282</v>
      </c>
      <c r="B59" t="str">
        <f t="shared" si="10"/>
        <v>Dewgong</v>
      </c>
      <c r="C59">
        <v>505</v>
      </c>
      <c r="E59" s="174"/>
      <c r="F59" s="175"/>
      <c r="K59" s="165" t="s">
        <v>108</v>
      </c>
      <c r="L59" s="161">
        <f t="shared" si="9"/>
        <v>3</v>
      </c>
    </row>
    <row r="60" spans="1:15" ht="15.75" thickBot="1" x14ac:dyDescent="0.3">
      <c r="A60" s="160" t="s">
        <v>283</v>
      </c>
      <c r="B60" t="str">
        <f t="shared" si="10"/>
        <v>Cloyster</v>
      </c>
      <c r="C60">
        <v>455</v>
      </c>
      <c r="D60" s="161"/>
      <c r="E60" s="308" t="s">
        <v>321</v>
      </c>
      <c r="F60" s="307"/>
      <c r="K60" s="166" t="s">
        <v>163</v>
      </c>
      <c r="L60" s="164">
        <f t="shared" si="9"/>
        <v>5</v>
      </c>
    </row>
    <row r="61" spans="1:15" ht="15.75" thickBot="1" x14ac:dyDescent="0.3">
      <c r="A61" s="160" t="s">
        <v>284</v>
      </c>
      <c r="B61" t="str">
        <f t="shared" si="10"/>
        <v>Onix</v>
      </c>
      <c r="C61">
        <v>405</v>
      </c>
      <c r="D61" s="161"/>
      <c r="E61" s="298" t="s">
        <v>326</v>
      </c>
      <c r="F61" s="299"/>
      <c r="K61" s="306" t="s">
        <v>334</v>
      </c>
      <c r="L61" s="307"/>
    </row>
    <row r="62" spans="1:15" x14ac:dyDescent="0.25">
      <c r="A62" s="160" t="s">
        <v>286</v>
      </c>
      <c r="B62" t="str">
        <f t="shared" si="10"/>
        <v>Dragonair</v>
      </c>
      <c r="C62">
        <v>438</v>
      </c>
      <c r="D62" s="161"/>
      <c r="E62" s="171" t="s">
        <v>328</v>
      </c>
      <c r="F62" s="165">
        <f>COUNTA(B31:C50)</f>
        <v>40</v>
      </c>
      <c r="K62" s="178" t="s">
        <v>310</v>
      </c>
      <c r="L62" s="28">
        <f>COUNTIF(C69:C77,"&gt;400")</f>
        <v>5</v>
      </c>
    </row>
    <row r="63" spans="1:15" ht="15.75" thickBot="1" x14ac:dyDescent="0.3">
      <c r="A63" s="160"/>
      <c r="B63" t="str">
        <f t="shared" si="10"/>
        <v/>
      </c>
      <c r="C63">
        <v>310</v>
      </c>
      <c r="D63" s="161"/>
      <c r="E63" s="169"/>
      <c r="F63" s="165"/>
      <c r="K63" s="166" t="s">
        <v>309</v>
      </c>
      <c r="L63" s="164">
        <f>COUNTIF(C$69:C$77,"&lt;400")</f>
        <v>4</v>
      </c>
    </row>
    <row r="64" spans="1:15" ht="15.75" thickBot="1" x14ac:dyDescent="0.3">
      <c r="A64" s="162" t="s">
        <v>288</v>
      </c>
      <c r="B64" s="163" t="str">
        <f t="shared" si="10"/>
        <v>Rattata</v>
      </c>
      <c r="C64" s="163">
        <v>200</v>
      </c>
      <c r="D64" s="164"/>
      <c r="E64" s="170"/>
      <c r="F64" s="166"/>
    </row>
    <row r="67" spans="1:7" ht="15.75" thickBot="1" x14ac:dyDescent="0.3"/>
    <row r="68" spans="1:7" ht="32.25" customHeight="1" thickBot="1" x14ac:dyDescent="0.3">
      <c r="A68" s="172" t="s">
        <v>298</v>
      </c>
      <c r="B68" s="180" t="s">
        <v>124</v>
      </c>
      <c r="C68" s="179" t="s">
        <v>34</v>
      </c>
      <c r="D68" s="187" t="s">
        <v>338</v>
      </c>
      <c r="E68" s="296" t="s">
        <v>339</v>
      </c>
      <c r="F68" s="297"/>
    </row>
    <row r="69" spans="1:7" x14ac:dyDescent="0.25">
      <c r="A69" s="167" t="s">
        <v>299</v>
      </c>
      <c r="B69" s="27" t="s">
        <v>107</v>
      </c>
      <c r="C69" s="181">
        <v>318</v>
      </c>
      <c r="D69" s="184" t="str">
        <f>IF(C69&gt;400, "High", "Low")</f>
        <v>Low</v>
      </c>
      <c r="E69" s="292" t="str" cm="1">
        <f t="array" ref="E69">_xlfn.IFS(C69&gt;400,"High", C69&gt;=300,"Normal",C69&lt;300,"Low")</f>
        <v>Normal</v>
      </c>
      <c r="F69" s="293"/>
    </row>
    <row r="70" spans="1:7" x14ac:dyDescent="0.25">
      <c r="A70" s="160" t="s">
        <v>300</v>
      </c>
      <c r="B70" t="s">
        <v>107</v>
      </c>
      <c r="C70" s="182">
        <v>405</v>
      </c>
      <c r="D70" s="185" t="str">
        <f t="shared" ref="D70:D77" si="11">IF(C70&gt;400, "High", "Low")</f>
        <v>High</v>
      </c>
      <c r="E70" s="292" t="str" cm="1">
        <f t="array" ref="E70">_xlfn.IFS(C70&gt;400,"High", C70&gt;=300,"Normal",C70&lt;300,"Low")</f>
        <v>High</v>
      </c>
      <c r="F70" s="293"/>
    </row>
    <row r="71" spans="1:7" x14ac:dyDescent="0.25">
      <c r="A71" s="160" t="s">
        <v>301</v>
      </c>
      <c r="B71" t="s">
        <v>107</v>
      </c>
      <c r="C71" s="182">
        <v>250</v>
      </c>
      <c r="D71" s="185" t="str">
        <f t="shared" si="11"/>
        <v>Low</v>
      </c>
      <c r="E71" s="292" t="str" cm="1">
        <f t="array" ref="E71">_xlfn.IFS(C71&gt;400,"High", C71&gt;=300,"Normal",C71&lt;300,"Low")</f>
        <v>Low</v>
      </c>
      <c r="F71" s="293"/>
    </row>
    <row r="72" spans="1:7" x14ac:dyDescent="0.25">
      <c r="A72" s="160" t="s">
        <v>302</v>
      </c>
      <c r="B72" t="s">
        <v>108</v>
      </c>
      <c r="C72" s="182">
        <v>309</v>
      </c>
      <c r="D72" s="185" t="str">
        <f t="shared" si="11"/>
        <v>Low</v>
      </c>
      <c r="E72" s="292" t="str" cm="1">
        <f t="array" ref="E72">_xlfn.IFS(C72&gt;400,"High", C72&gt;=300,"Normal",C72&lt;300,"Low")</f>
        <v>Normal</v>
      </c>
      <c r="F72" s="293"/>
    </row>
    <row r="73" spans="1:7" x14ac:dyDescent="0.25">
      <c r="A73" s="160" t="s">
        <v>303</v>
      </c>
      <c r="B73" t="s">
        <v>108</v>
      </c>
      <c r="C73" s="182">
        <v>405</v>
      </c>
      <c r="D73" s="185" t="str">
        <f t="shared" si="11"/>
        <v>High</v>
      </c>
      <c r="E73" s="292" t="str" cm="1">
        <f t="array" ref="E73">_xlfn.IFS(C73&gt;400,"High", C73&gt;=300,"Normal",C73&lt;300,"Low")</f>
        <v>High</v>
      </c>
      <c r="F73" s="293"/>
    </row>
    <row r="74" spans="1:7" x14ac:dyDescent="0.25">
      <c r="A74" s="160" t="s">
        <v>304</v>
      </c>
      <c r="B74" t="s">
        <v>108</v>
      </c>
      <c r="C74" s="182">
        <v>534</v>
      </c>
      <c r="D74" s="185" t="str">
        <f t="shared" si="11"/>
        <v>High</v>
      </c>
      <c r="E74" s="292" t="str" cm="1">
        <f t="array" ref="E74">_xlfn.IFS(C74&gt;400,"High", C74&gt;=300,"Normal",C74&lt;300,"Low")</f>
        <v>High</v>
      </c>
      <c r="F74" s="293"/>
    </row>
    <row r="75" spans="1:7" x14ac:dyDescent="0.25">
      <c r="A75" s="160" t="s">
        <v>305</v>
      </c>
      <c r="B75" t="s">
        <v>109</v>
      </c>
      <c r="C75" s="182">
        <v>314</v>
      </c>
      <c r="D75" s="185" t="str">
        <f t="shared" si="11"/>
        <v>Low</v>
      </c>
      <c r="E75" s="292" t="str" cm="1">
        <f t="array" ref="E75">_xlfn.IFS(C75&gt;400,"High", C75&gt;=300,"Normal",C75&lt;300,"Low")</f>
        <v>Normal</v>
      </c>
      <c r="F75" s="293"/>
    </row>
    <row r="76" spans="1:7" x14ac:dyDescent="0.25">
      <c r="A76" s="160" t="s">
        <v>306</v>
      </c>
      <c r="B76" t="s">
        <v>109</v>
      </c>
      <c r="C76" s="182">
        <v>405</v>
      </c>
      <c r="D76" s="185" t="str">
        <f t="shared" si="11"/>
        <v>High</v>
      </c>
      <c r="E76" s="292" t="str" cm="1">
        <f t="array" ref="E76">_xlfn.IFS(C76&gt;400,"High", C76&gt;=300,"Normal",C76&lt;300,"Low")</f>
        <v>High</v>
      </c>
      <c r="F76" s="293"/>
    </row>
    <row r="77" spans="1:7" ht="15.75" thickBot="1" x14ac:dyDescent="0.3">
      <c r="A77" s="162" t="s">
        <v>307</v>
      </c>
      <c r="B77" s="163" t="s">
        <v>109</v>
      </c>
      <c r="C77" s="183">
        <v>530</v>
      </c>
      <c r="D77" s="186" t="str">
        <f t="shared" si="11"/>
        <v>High</v>
      </c>
      <c r="E77" s="294" t="str" cm="1">
        <f t="array" ref="E77">_xlfn.IFS(C77&gt;400,"High", C77&gt;=300,"Normal",C77&lt;300,"Low")</f>
        <v>High</v>
      </c>
      <c r="F77" s="295"/>
    </row>
    <row r="78" spans="1:7" x14ac:dyDescent="0.25">
      <c r="A78" t="s">
        <v>308</v>
      </c>
    </row>
    <row r="79" spans="1:7" ht="15.75" thickBot="1" x14ac:dyDescent="0.3"/>
    <row r="80" spans="1:7" ht="35.25" customHeight="1" thickBot="1" x14ac:dyDescent="0.3">
      <c r="A80" s="188" t="s">
        <v>105</v>
      </c>
      <c r="B80" t="s">
        <v>340</v>
      </c>
      <c r="C80" t="s">
        <v>341</v>
      </c>
      <c r="D80" s="192" t="s">
        <v>343</v>
      </c>
      <c r="E80" s="193" t="s">
        <v>342</v>
      </c>
      <c r="F80" s="203" t="s">
        <v>364</v>
      </c>
      <c r="G80" s="205" t="s">
        <v>365</v>
      </c>
    </row>
    <row r="81" spans="1:7" x14ac:dyDescent="0.25">
      <c r="A81" s="178" t="s">
        <v>299</v>
      </c>
      <c r="B81" s="178" t="str" cm="1">
        <f t="array" ref="B81:B89">TRIM(A81:A89)</f>
        <v>Bulbasaur</v>
      </c>
      <c r="D81" s="189" t="str">
        <f>LEFT(B81)</f>
        <v>B</v>
      </c>
      <c r="E81" s="201" t="str">
        <f>LEFT(B81,4)</f>
        <v>Bulb</v>
      </c>
      <c r="F81" s="184" t="str">
        <f>RIGHT(B81)</f>
        <v>r</v>
      </c>
      <c r="G81" s="178" t="str">
        <f>RIGHT(B81,4)</f>
        <v>saur</v>
      </c>
    </row>
    <row r="82" spans="1:7" x14ac:dyDescent="0.25">
      <c r="A82" s="165" t="s">
        <v>300</v>
      </c>
      <c r="B82" s="165" t="str">
        <v>Ivysaur</v>
      </c>
      <c r="D82" s="190" t="str">
        <f t="shared" ref="D82:D89" si="12">LEFT(B82)</f>
        <v>I</v>
      </c>
      <c r="E82" s="200" t="str">
        <f t="shared" ref="E82:E89" si="13">LEFT(B82,4)</f>
        <v>Ivys</v>
      </c>
      <c r="F82" s="204" t="str">
        <f t="shared" ref="F82:F89" si="14">RIGHT(B82)</f>
        <v>r</v>
      </c>
      <c r="G82" s="165" t="str">
        <f t="shared" ref="G82:G89" si="15">RIGHT(B82,4)</f>
        <v>saur</v>
      </c>
    </row>
    <row r="83" spans="1:7" x14ac:dyDescent="0.25">
      <c r="A83" s="165" t="s">
        <v>301</v>
      </c>
      <c r="B83" s="165" t="str">
        <v>Venusaur</v>
      </c>
      <c r="D83" s="190" t="str">
        <f t="shared" si="12"/>
        <v>V</v>
      </c>
      <c r="E83" s="200" t="str">
        <f t="shared" si="13"/>
        <v>Venu</v>
      </c>
      <c r="F83" s="204" t="str">
        <f t="shared" si="14"/>
        <v>r</v>
      </c>
      <c r="G83" s="165" t="str">
        <f t="shared" si="15"/>
        <v>saur</v>
      </c>
    </row>
    <row r="84" spans="1:7" x14ac:dyDescent="0.25">
      <c r="A84" s="165" t="s">
        <v>302</v>
      </c>
      <c r="B84" s="165" t="str">
        <v>Charmander</v>
      </c>
      <c r="D84" s="190" t="str">
        <f t="shared" si="12"/>
        <v>C</v>
      </c>
      <c r="E84" s="200" t="str">
        <f t="shared" si="13"/>
        <v>Char</v>
      </c>
      <c r="F84" s="204" t="str">
        <f t="shared" si="14"/>
        <v>r</v>
      </c>
      <c r="G84" s="165" t="str">
        <f t="shared" si="15"/>
        <v>nder</v>
      </c>
    </row>
    <row r="85" spans="1:7" x14ac:dyDescent="0.25">
      <c r="A85" s="165" t="s">
        <v>303</v>
      </c>
      <c r="B85" s="165" t="str">
        <v>Charmeleon</v>
      </c>
      <c r="D85" s="190" t="str">
        <f t="shared" si="12"/>
        <v>C</v>
      </c>
      <c r="E85" s="200" t="str">
        <f t="shared" si="13"/>
        <v>Char</v>
      </c>
      <c r="F85" s="204" t="str">
        <f t="shared" si="14"/>
        <v>n</v>
      </c>
      <c r="G85" s="165" t="str">
        <f t="shared" si="15"/>
        <v>leon</v>
      </c>
    </row>
    <row r="86" spans="1:7" x14ac:dyDescent="0.25">
      <c r="A86" s="165" t="s">
        <v>304</v>
      </c>
      <c r="B86" s="165" t="str">
        <v>Charizard</v>
      </c>
      <c r="D86" s="190" t="str">
        <f t="shared" si="12"/>
        <v>C</v>
      </c>
      <c r="E86" s="200" t="str">
        <f t="shared" si="13"/>
        <v>Char</v>
      </c>
      <c r="F86" s="204" t="str">
        <f t="shared" si="14"/>
        <v>d</v>
      </c>
      <c r="G86" s="165" t="str">
        <f t="shared" si="15"/>
        <v>zard</v>
      </c>
    </row>
    <row r="87" spans="1:7" x14ac:dyDescent="0.25">
      <c r="A87" s="165" t="s">
        <v>305</v>
      </c>
      <c r="B87" s="165" t="str">
        <v>Squirtle</v>
      </c>
      <c r="D87" s="190" t="str">
        <f t="shared" si="12"/>
        <v>S</v>
      </c>
      <c r="E87" s="200" t="str">
        <f t="shared" si="13"/>
        <v>Squi</v>
      </c>
      <c r="F87" s="204" t="str">
        <f t="shared" si="14"/>
        <v>e</v>
      </c>
      <c r="G87" s="165" t="str">
        <f t="shared" si="15"/>
        <v>rtle</v>
      </c>
    </row>
    <row r="88" spans="1:7" x14ac:dyDescent="0.25">
      <c r="A88" s="165" t="s">
        <v>306</v>
      </c>
      <c r="B88" s="165" t="str">
        <v>Wartortle</v>
      </c>
      <c r="D88" s="190" t="str">
        <f t="shared" si="12"/>
        <v>W</v>
      </c>
      <c r="E88" s="200" t="str">
        <f t="shared" si="13"/>
        <v>Wart</v>
      </c>
      <c r="F88" s="204" t="str">
        <f t="shared" si="14"/>
        <v>e</v>
      </c>
      <c r="G88" s="165" t="str">
        <f t="shared" si="15"/>
        <v>rtle</v>
      </c>
    </row>
    <row r="89" spans="1:7" ht="15.75" thickBot="1" x14ac:dyDescent="0.3">
      <c r="A89" s="166" t="s">
        <v>307</v>
      </c>
      <c r="B89" s="166" t="str">
        <v>Blastoise</v>
      </c>
      <c r="D89" s="191" t="str">
        <f t="shared" si="12"/>
        <v>B</v>
      </c>
      <c r="E89" s="202" t="str">
        <f t="shared" si="13"/>
        <v>Blas</v>
      </c>
      <c r="F89" s="186" t="str">
        <f t="shared" si="14"/>
        <v>e</v>
      </c>
      <c r="G89" s="166" t="str">
        <f t="shared" si="15"/>
        <v>oise</v>
      </c>
    </row>
    <row r="91" spans="1:7" ht="15.75" thickBot="1" x14ac:dyDescent="0.3"/>
    <row r="92" spans="1:7" ht="29.25" customHeight="1" thickBot="1" x14ac:dyDescent="0.3">
      <c r="A92" s="194" t="s">
        <v>238</v>
      </c>
      <c r="B92" s="195" t="s">
        <v>124</v>
      </c>
      <c r="C92" s="196" t="s">
        <v>277</v>
      </c>
      <c r="D92" s="197" t="s">
        <v>362</v>
      </c>
      <c r="E92" s="290" t="s">
        <v>363</v>
      </c>
      <c r="F92" s="291"/>
    </row>
    <row r="93" spans="1:7" x14ac:dyDescent="0.25">
      <c r="A93" s="160" t="s">
        <v>353</v>
      </c>
      <c r="B93" t="s">
        <v>344</v>
      </c>
      <c r="C93" s="161">
        <v>305</v>
      </c>
      <c r="D93" s="168" t="str">
        <f>LOWER(A93)</f>
        <v>mankey</v>
      </c>
      <c r="E93" s="185" t="str" cm="1">
        <f t="array" ref="E93:F101">LOWER(A93:B101)</f>
        <v>mankey</v>
      </c>
      <c r="F93" s="198" t="str">
        <v>fighting</v>
      </c>
    </row>
    <row r="94" spans="1:7" x14ac:dyDescent="0.25">
      <c r="A94" s="160" t="s">
        <v>354</v>
      </c>
      <c r="B94" t="s">
        <v>345</v>
      </c>
      <c r="C94" s="161">
        <v>510</v>
      </c>
      <c r="D94" s="169" t="str">
        <f t="shared" ref="D94:D101" si="16">LOWER(A94)</f>
        <v>poliwrath</v>
      </c>
      <c r="E94" s="185" t="str">
        <v>poliwrath</v>
      </c>
      <c r="F94" s="198" t="str">
        <v>water</v>
      </c>
    </row>
    <row r="95" spans="1:7" x14ac:dyDescent="0.25">
      <c r="A95" s="160" t="s">
        <v>355</v>
      </c>
      <c r="B95" t="s">
        <v>346</v>
      </c>
      <c r="C95" s="161">
        <v>490</v>
      </c>
      <c r="D95" s="169" t="str">
        <f t="shared" si="16"/>
        <v>victreebel</v>
      </c>
      <c r="E95" s="185" t="str">
        <v>victreebel</v>
      </c>
      <c r="F95" s="198" t="str">
        <v>grass</v>
      </c>
    </row>
    <row r="96" spans="1:7" x14ac:dyDescent="0.25">
      <c r="A96" s="160" t="s">
        <v>356</v>
      </c>
      <c r="B96" t="s">
        <v>347</v>
      </c>
      <c r="C96" s="161">
        <v>335</v>
      </c>
      <c r="D96" s="169" t="str">
        <f t="shared" si="16"/>
        <v>tentacool</v>
      </c>
      <c r="E96" s="185" t="str">
        <v>tentacool</v>
      </c>
      <c r="F96" s="198" t="str">
        <v>water</v>
      </c>
    </row>
    <row r="97" spans="1:6" x14ac:dyDescent="0.25">
      <c r="A97" s="160" t="s">
        <v>357</v>
      </c>
      <c r="B97" t="s">
        <v>348</v>
      </c>
      <c r="C97" s="161">
        <v>465</v>
      </c>
      <c r="D97" s="169" t="str">
        <f t="shared" si="16"/>
        <v>magneton</v>
      </c>
      <c r="E97" s="185" t="str">
        <v>magneton</v>
      </c>
      <c r="F97" s="198" t="str">
        <v>electric</v>
      </c>
    </row>
    <row r="98" spans="1:6" x14ac:dyDescent="0.25">
      <c r="A98" s="160" t="s">
        <v>358</v>
      </c>
      <c r="B98" t="s">
        <v>349</v>
      </c>
      <c r="C98" s="161">
        <v>475</v>
      </c>
      <c r="D98" s="169" t="str">
        <f t="shared" si="16"/>
        <v>dewgong</v>
      </c>
      <c r="E98" s="185" t="str">
        <v>dewgong</v>
      </c>
      <c r="F98" s="198" t="str">
        <v>water</v>
      </c>
    </row>
    <row r="99" spans="1:6" x14ac:dyDescent="0.25">
      <c r="A99" s="160" t="s">
        <v>359</v>
      </c>
      <c r="B99" t="s">
        <v>350</v>
      </c>
      <c r="C99" s="161">
        <v>-525</v>
      </c>
      <c r="D99" s="169" t="str">
        <f t="shared" si="16"/>
        <v>cloyster</v>
      </c>
      <c r="E99" s="185" t="str">
        <v>cloyster</v>
      </c>
      <c r="F99" s="198" t="str">
        <v>water</v>
      </c>
    </row>
    <row r="100" spans="1:6" x14ac:dyDescent="0.25">
      <c r="A100" s="160" t="s">
        <v>360</v>
      </c>
      <c r="B100" t="s">
        <v>351</v>
      </c>
      <c r="C100" s="161">
        <v>385</v>
      </c>
      <c r="D100" s="169" t="str">
        <f t="shared" si="16"/>
        <v>onix</v>
      </c>
      <c r="E100" s="185" t="str">
        <v>onix</v>
      </c>
      <c r="F100" s="198" t="str">
        <v>rock</v>
      </c>
    </row>
    <row r="101" spans="1:6" ht="15.75" thickBot="1" x14ac:dyDescent="0.3">
      <c r="A101" s="162" t="s">
        <v>361</v>
      </c>
      <c r="B101" s="163" t="s">
        <v>352</v>
      </c>
      <c r="C101" s="164">
        <v>420</v>
      </c>
      <c r="D101" s="170" t="str">
        <f t="shared" si="16"/>
        <v>dragonair</v>
      </c>
      <c r="E101" s="186" t="str">
        <v>dragonair</v>
      </c>
      <c r="F101" s="199" t="str">
        <v>dragon</v>
      </c>
    </row>
    <row r="102" spans="1:6" ht="28.5" customHeight="1" thickBot="1" x14ac:dyDescent="0.3">
      <c r="A102" s="27" t="s">
        <v>107</v>
      </c>
      <c r="B102" s="181">
        <v>318</v>
      </c>
      <c r="C102" s="206" t="s">
        <v>375</v>
      </c>
      <c r="D102" s="209" t="s">
        <v>370</v>
      </c>
      <c r="E102" s="208" t="s">
        <v>369</v>
      </c>
    </row>
    <row r="103" spans="1:6" ht="15.75" thickBot="1" x14ac:dyDescent="0.3">
      <c r="A103" t="s">
        <v>107</v>
      </c>
      <c r="B103" s="182">
        <v>405</v>
      </c>
      <c r="C103" s="216">
        <f>SUM(B102:B110)</f>
        <v>3165</v>
      </c>
      <c r="D103" s="212" t="s">
        <v>107</v>
      </c>
      <c r="E103" s="168">
        <f>SUMIF(A$102:A$110,D103, B$102:B$110)</f>
        <v>473</v>
      </c>
    </row>
    <row r="104" spans="1:6" x14ac:dyDescent="0.25">
      <c r="A104" t="s">
        <v>107</v>
      </c>
      <c r="B104" s="182">
        <v>-250</v>
      </c>
      <c r="C104" s="215" t="s">
        <v>372</v>
      </c>
      <c r="D104" s="204" t="s">
        <v>108</v>
      </c>
      <c r="E104" s="25">
        <f t="shared" ref="E104:E105" si="17">SUMIF(A$102:A$110,D104, B$102:B$110)</f>
        <v>1248</v>
      </c>
    </row>
    <row r="105" spans="1:6" ht="15.75" thickBot="1" x14ac:dyDescent="0.3">
      <c r="A105" t="s">
        <v>108</v>
      </c>
      <c r="B105" s="11">
        <v>309</v>
      </c>
      <c r="C105" s="214">
        <f>MAX(B102:B110)</f>
        <v>600</v>
      </c>
      <c r="D105" s="213" t="s">
        <v>109</v>
      </c>
      <c r="E105" s="170">
        <f t="shared" si="17"/>
        <v>1444</v>
      </c>
    </row>
    <row r="106" spans="1:6" x14ac:dyDescent="0.25">
      <c r="A106" t="s">
        <v>108</v>
      </c>
      <c r="B106" s="11">
        <v>405</v>
      </c>
      <c r="C106" s="215" t="s">
        <v>373</v>
      </c>
    </row>
    <row r="107" spans="1:6" ht="15.75" thickBot="1" x14ac:dyDescent="0.3">
      <c r="A107" t="s">
        <v>108</v>
      </c>
      <c r="B107" s="182">
        <v>534</v>
      </c>
      <c r="C107" s="214">
        <f>MIN(B102:B110)</f>
        <v>-250</v>
      </c>
    </row>
    <row r="108" spans="1:6" ht="15.75" thickBot="1" x14ac:dyDescent="0.3">
      <c r="A108" t="s">
        <v>109</v>
      </c>
      <c r="B108" s="182">
        <v>314</v>
      </c>
      <c r="C108" s="217" t="s">
        <v>374</v>
      </c>
    </row>
    <row r="109" spans="1:6" ht="15.75" thickBot="1" x14ac:dyDescent="0.3">
      <c r="A109" t="s">
        <v>109</v>
      </c>
      <c r="B109" s="182">
        <v>600</v>
      </c>
      <c r="C109" s="207">
        <f>MEDIAN(B102:B110)</f>
        <v>405</v>
      </c>
    </row>
    <row r="110" spans="1:6" ht="15.75" thickBot="1" x14ac:dyDescent="0.3">
      <c r="A110" s="163" t="s">
        <v>109</v>
      </c>
      <c r="B110" s="183">
        <v>530</v>
      </c>
      <c r="C110" s="217" t="s">
        <v>380</v>
      </c>
    </row>
    <row r="111" spans="1:6" ht="15.75" thickBot="1" x14ac:dyDescent="0.3">
      <c r="C111" s="207">
        <f>MODE(B102:B110)</f>
        <v>405</v>
      </c>
    </row>
    <row r="112" spans="1:6" ht="15.75" thickBot="1" x14ac:dyDescent="0.3">
      <c r="B112" s="182"/>
    </row>
    <row r="113" spans="1:3" s="10" customFormat="1" ht="15.75" thickBot="1" x14ac:dyDescent="0.3">
      <c r="A113" s="156" t="s">
        <v>392</v>
      </c>
      <c r="B113" s="323" t="s">
        <v>393</v>
      </c>
      <c r="C113" s="158" t="s">
        <v>394</v>
      </c>
    </row>
    <row r="114" spans="1:3" x14ac:dyDescent="0.25">
      <c r="A114" s="160" t="s">
        <v>388</v>
      </c>
      <c r="B114" s="182">
        <v>7450000</v>
      </c>
      <c r="C114" s="178" t="str" cm="1">
        <f t="array" ref="C114:C117">VLOOKUP(A114:A117,StateCode!A1:B7,2,FALSE)</f>
        <v>Colorado</v>
      </c>
    </row>
    <row r="115" spans="1:3" x14ac:dyDescent="0.25">
      <c r="A115" s="160" t="s">
        <v>389</v>
      </c>
      <c r="B115" s="182">
        <v>35000000</v>
      </c>
      <c r="C115" s="165" t="str">
        <v>New York</v>
      </c>
    </row>
    <row r="116" spans="1:3" x14ac:dyDescent="0.25">
      <c r="A116" s="160" t="s">
        <v>390</v>
      </c>
      <c r="B116" s="182">
        <v>40000000</v>
      </c>
      <c r="C116" s="165" t="str">
        <v>California</v>
      </c>
    </row>
    <row r="117" spans="1:3" ht="15.75" thickBot="1" x14ac:dyDescent="0.3">
      <c r="A117" s="162" t="s">
        <v>391</v>
      </c>
      <c r="B117" s="183">
        <v>65000</v>
      </c>
      <c r="C117" s="166" t="str">
        <v>Wayming</v>
      </c>
    </row>
    <row r="118" spans="1:3" x14ac:dyDescent="0.25">
      <c r="B118" s="324"/>
      <c r="C118" s="325"/>
    </row>
  </sheetData>
  <sortState xmlns:xlrd2="http://schemas.microsoft.com/office/spreadsheetml/2017/richdata2" ref="B114:B122">
    <sortCondition ref="B114:B122"/>
  </sortState>
  <mergeCells count="23">
    <mergeCell ref="A53:D53"/>
    <mergeCell ref="E57:F57"/>
    <mergeCell ref="E54:F55"/>
    <mergeCell ref="A1:C1"/>
    <mergeCell ref="A15:F15"/>
    <mergeCell ref="A54:D54"/>
    <mergeCell ref="E53:F53"/>
    <mergeCell ref="E61:F61"/>
    <mergeCell ref="E31:O31"/>
    <mergeCell ref="E30:O30"/>
    <mergeCell ref="K61:L61"/>
    <mergeCell ref="E60:F60"/>
    <mergeCell ref="E68:F68"/>
    <mergeCell ref="E69:F69"/>
    <mergeCell ref="E70:F70"/>
    <mergeCell ref="E71:F71"/>
    <mergeCell ref="E72:F72"/>
    <mergeCell ref="E92:F92"/>
    <mergeCell ref="E73:F73"/>
    <mergeCell ref="E74:F74"/>
    <mergeCell ref="E75:F75"/>
    <mergeCell ref="E76:F76"/>
    <mergeCell ref="E77:F77"/>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E976-46F9-42F1-BAEC-D9BBBFBF9D99}">
  <dimension ref="A1:B7"/>
  <sheetViews>
    <sheetView workbookViewId="0">
      <selection sqref="A1:XFD1"/>
    </sheetView>
  </sheetViews>
  <sheetFormatPr defaultRowHeight="15" x14ac:dyDescent="0.25"/>
  <cols>
    <col min="1" max="1" width="10.5703125" bestFit="1" customWidth="1"/>
    <col min="2" max="2" width="11.28515625" bestFit="1" customWidth="1"/>
  </cols>
  <sheetData>
    <row r="1" spans="1:2" s="10" customFormat="1" x14ac:dyDescent="0.25">
      <c r="A1" s="10" t="s">
        <v>392</v>
      </c>
      <c r="B1" s="10" t="s">
        <v>394</v>
      </c>
    </row>
    <row r="2" spans="1:2" x14ac:dyDescent="0.25">
      <c r="A2" t="s">
        <v>388</v>
      </c>
      <c r="B2" t="s">
        <v>395</v>
      </c>
    </row>
    <row r="3" spans="1:2" x14ac:dyDescent="0.25">
      <c r="A3" t="s">
        <v>396</v>
      </c>
      <c r="B3" t="s">
        <v>397</v>
      </c>
    </row>
    <row r="4" spans="1:2" x14ac:dyDescent="0.25">
      <c r="A4" t="s">
        <v>389</v>
      </c>
      <c r="B4" t="s">
        <v>398</v>
      </c>
    </row>
    <row r="5" spans="1:2" x14ac:dyDescent="0.25">
      <c r="A5" t="s">
        <v>399</v>
      </c>
      <c r="B5" t="s">
        <v>400</v>
      </c>
    </row>
    <row r="6" spans="1:2" x14ac:dyDescent="0.25">
      <c r="A6" t="s">
        <v>390</v>
      </c>
      <c r="B6" t="s">
        <v>401</v>
      </c>
    </row>
    <row r="7" spans="1:2" x14ac:dyDescent="0.25">
      <c r="A7" t="s">
        <v>391</v>
      </c>
      <c r="B7" t="s">
        <v>402</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322" t="s">
        <v>29</v>
      </c>
      <c r="G20" s="322"/>
      <c r="H20" s="322"/>
      <c r="I20" s="322"/>
      <c r="J20" s="322"/>
      <c r="K20" s="322"/>
      <c r="L20" s="322"/>
      <c r="M20" s="322"/>
      <c r="N20" s="322"/>
      <c r="O20" s="322"/>
      <c r="P20" s="322"/>
      <c r="Q20" s="322"/>
      <c r="R20" s="322"/>
      <c r="S20" s="322"/>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Excel Basics</vt:lpstr>
      <vt:lpstr>Pivot Table and Chart</vt:lpstr>
      <vt:lpstr>Conditional Formatting</vt:lpstr>
      <vt:lpstr>Excel Functions</vt:lpstr>
      <vt:lpstr>StateCode</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2024-02-12T21:27:49Z</dcterms:modified>
</cp:coreProperties>
</file>