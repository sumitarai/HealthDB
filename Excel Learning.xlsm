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mc:AlternateContent xmlns:mc="http://schemas.openxmlformats.org/markup-compatibility/2006">
    <mc:Choice Requires="x15">
      <x15ac:absPath xmlns:x15ac="http://schemas.microsoft.com/office/spreadsheetml/2010/11/ac" url="C:\Work\HandsOn\HealthDB\"/>
    </mc:Choice>
  </mc:AlternateContent>
  <xr:revisionPtr revIDLastSave="0" documentId="13_ncr:1_{A9BCB807-2682-4526-9992-F49F388CEB5A}"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shortcuts" sheetId="2" r:id="rId5"/>
  </sheets>
  <functionGroups builtInGroupCount="19"/>
  <definedNames>
    <definedName name="_xlnm._FilterDatabase" localSheetId="1" hidden="1">'Excel Basics'!$A$31:$N$70</definedName>
    <definedName name="_xlnm._FilterDatabase" localSheetId="2" hidden="1">'Pivot Table and Chart'!$A$3:$G$3</definedName>
  </definedNames>
  <calcPr calcId="191029"/>
  <pivotCaches>
    <pivotCache cacheId="23"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4" i="4" l="1"/>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<sst xmlns="http://schemas.openxmlformats.org/spreadsheetml/2006/main" count="310" uniqueCount="163">
  <si>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</si>
  <si>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</si>
  <si>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</si>
  <si>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</si>
  <si>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</si>
  <si>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</si>
  <si>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</si>
  <si>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</si>
  <si>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</si>
  <si>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</si>
  <si>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</si>
  <si>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</si>
  <si>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</si>
  <si>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</si>
  <si>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</si>
  <si>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</si>
  <si>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</si>
  <si>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</si>
  <si>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</si>
  <si>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</si>
  <si>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</si>
  <si>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</si>
  <si>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</si>
  <si>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</si>
  <si>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</si>
  <si>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</si>
  <si>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</si>
  <si>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</si>
  <si>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</si>
  <si>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</si>
  <si>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</si>
  <si>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</si>
  <si>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</si>
  <si>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</si>
  <si>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</si>
  <si>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</si>
  <si>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</si>
  <si>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</si>
  <si>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</si>
  <si>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</si>
  <si>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</si>
  <si>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</si>
  <si>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</si>
  <si>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</si>
  <si>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</si>
  <si>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</si>
  <si>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</si>
  <si>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</si>
  <si>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</si>
  <si>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</si>
  <si>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</si>
  <si>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</si>
  <si>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</si>
  <si>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</si>
  <si>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</si>
  <si>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</si>
  <si>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</si>
  <si>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</si>
  <si>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</si>
  <si>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</si>
  <si>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</si>
  <si>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</si>
  <si>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</si>
  <si>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</si>
  <si>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on A3 cell &gt;&gt; click Insert on the top ribbon &gt; click Pivot table and then select the fields that wants to show in pivot table</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</si>
  <si>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</si>
  <si>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</si>
  <si>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</si>
  <si>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</si>
  <si>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</si>
  <si>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</si>
  <si>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</si>
  <si>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</si>
  <si>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</si>
  <si>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</si>
  <si>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</si>
  <si>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</si>
  <si>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</si>
  <si>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</si>
  <si>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</si>
  <si>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</si>
  <si>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</si>
  <si>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</si>
  <si>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</si>
  <si>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</si>
  <si>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</si>
  <si>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</si>
  <si>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</si>
  <si>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</si>
  <si>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</si>
  <si>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</si>
  <si>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</si>
  <si>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</si>
  <si>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</si>
  <si>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</si>
  <si>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</si>
  <si>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</si>
  <si>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</si>
  <si>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</si>
  <si>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</si>
  <si>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</si>
  <si>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</si>
  <si>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</si>
  <si>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</si>
  <si>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</si>
  <si>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(blank)</t>
  </si>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</sst>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s>
  <cellStyleXfs count="1">
    <xf numFmtId="0" fontId="0" fillId="0" borderId="0"/>
  </cellStyleXfs>
  <cellXfs count="120">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1" xfId="0"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8" xfId="0" applyFill="1"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2" xfId="0" applyBorder="1" applyAlignment="1">
      <alignment horizontal="left" vertical="center" wrapText="1"/>
    </xf>
    <xf numFmtId="0" fontId="0" fillId="0" borderId="24" xfId="0" applyBorder="1" applyAlignment="1">
      <alignment horizontal="left" vertical="center" wrapText="1"/>
    </xf>
    <xf numFmtId="0" fontId="0" fillId="0" borderId="23" xfId="0" applyBorder="1"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4" fillId="0" borderId="0" xfId="0" applyFont="1" applyAlignment="1">
      <alignment horizontal="center"/>
    </xf>
    <xf numFmtId="0" fontId="0" fillId="0" borderId="26" xfId="0" applyBorder="1" applyAlignment="1">
      <alignment horizontal="left" vertical="center" wrapText="1"/>
    </xf>
    <xf numFmtId="0" fontId="0" fillId="0" borderId="7" xfId="0" applyFont="1" applyBorder="1"/>
    <xf numFmtId="0" fontId="0" fillId="0" borderId="10" xfId="0" applyFont="1" applyBorder="1"/>
    <xf numFmtId="14" fontId="0" fillId="4" borderId="33" xfId="0" applyNumberFormat="1" applyFont="1" applyFill="1" applyBorder="1"/>
    <xf numFmtId="0" fontId="0" fillId="4" borderId="27" xfId="0" applyFont="1" applyFill="1" applyBorder="1"/>
    <xf numFmtId="0" fontId="0" fillId="4" borderId="34" xfId="0" applyFont="1" applyFill="1" applyBorder="1"/>
    <xf numFmtId="14" fontId="0" fillId="0" borderId="33" xfId="0" applyNumberFormat="1" applyFont="1" applyBorder="1"/>
    <xf numFmtId="0" fontId="0" fillId="0" borderId="27" xfId="0" applyFont="1" applyBorder="1"/>
    <xf numFmtId="0" fontId="0" fillId="0" borderId="34" xfId="0" applyFont="1" applyBorder="1"/>
    <xf numFmtId="14" fontId="0" fillId="4" borderId="28" xfId="0" applyNumberFormat="1" applyFont="1" applyFill="1" applyBorder="1"/>
    <xf numFmtId="0" fontId="0" fillId="4" borderId="29" xfId="0" applyFont="1" applyFill="1" applyBorder="1"/>
    <xf numFmtId="0" fontId="0" fillId="4" borderId="30" xfId="0" applyFont="1" applyFill="1" applyBorder="1"/>
    <xf numFmtId="14" fontId="0" fillId="0" borderId="6" xfId="0" applyNumberFormat="1" applyFon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0" xfId="0" applyNumberFormat="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ont="1"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 xfId="0" applyFont="1"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ont="1"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10" fillId="0" borderId="0" xfId="0" applyFont="1" applyBorder="1" applyAlignment="1">
      <alignment horizontal="left" vertical="center"/>
    </xf>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right" vertical="center"/>
    </xf>
    <xf numFmtId="0" fontId="0" fillId="0" borderId="15" xfId="0" quotePrefix="1" applyBorder="1" applyAlignment="1">
      <alignment horizontal="left" vertical="center" wrapText="1"/>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Font="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1" fillId="0" borderId="0" xfId="0" applyFont="1" applyFill="1" applyBorder="1" applyAlignment="1">
      <alignment horizontal="left" vertical="center"/>
    </xf>
    <xf numFmtId="0" fontId="1" fillId="0" borderId="0" xfId="0" applyFont="1" applyAlignment="1">
      <alignment horizontal="left"/>
    </xf>
  </cellXfs>
  <cellStyles count="1">
    <cellStyle name="Normal" xfId="0" builtinId="0"/>
  </cellStyles>
  <dxfs count="178">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4" tint="0.79998168889431442"/>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9"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Learning.xlsm]Pivot Table and Chart!PivotTable5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 and Chart'!$J$2</c:f>
              <c:strCache>
                <c:ptCount val="1"/>
                <c:pt idx="0">
                  <c:v>Total</c:v>
                </c:pt>
              </c:strCache>
            </c:strRef>
          </c:tx>
          <c:spPr>
            <a:solidFill>
              <a:schemeClr val="accent1"/>
            </a:solidFill>
            <a:ln>
              <a:noFill/>
            </a:ln>
            <a:effectLst/>
            <a:sp3d/>
          </c:spPr>
          <c:invertIfNegative val="0"/>
          <c:cat>
            <c:multiLvlStrRef>
              <c:f>'Pivot Table and Chart'!$I$3:$I$19</c:f>
              <c:multiLvlStrCache>
                <c:ptCount val="12"/>
                <c:lvl>
                  <c:pt idx="0">
                    <c:v>Andrews</c:v>
                  </c:pt>
                  <c:pt idx="1">
                    <c:v>Gill</c:v>
                  </c:pt>
                  <c:pt idx="2">
                    <c:v>Jardine</c:v>
                  </c:pt>
                  <c:pt idx="3">
                    <c:v>Kivell</c:v>
                  </c:pt>
                  <c:pt idx="4">
                    <c:v>Morgan</c:v>
                  </c:pt>
                  <c:pt idx="5">
                    <c:v>Smith</c:v>
                  </c:pt>
                  <c:pt idx="6">
                    <c:v>Howard</c:v>
                  </c:pt>
                  <c:pt idx="7">
                    <c:v>Jones</c:v>
                  </c:pt>
                  <c:pt idx="8">
                    <c:v>Parent</c:v>
                  </c:pt>
                  <c:pt idx="9">
                    <c:v>Sorvino</c:v>
                  </c:pt>
                  <c:pt idx="10">
                    <c:v>Thompson</c:v>
                  </c:pt>
                  <c:pt idx="11">
                    <c:v>(blank)</c:v>
                  </c:pt>
                </c:lvl>
                <c:lvl>
                  <c:pt idx="0">
                    <c:v>Central</c:v>
                  </c:pt>
                  <c:pt idx="6">
                    <c:v>East</c:v>
                  </c:pt>
                  <c:pt idx="9">
                    <c:v>West</c:v>
                  </c:pt>
                  <c:pt idx="11">
                    <c:v>(blank)</c:v>
                  </c:pt>
                </c:lvl>
              </c:multiLvlStrCache>
            </c:multiLvlStrRef>
          </c:cat>
          <c:val>
            <c:numRef>
              <c:f>'Pivot Table and Chart'!$J$3:$J$19</c:f>
              <c:numCache>
                <c:formatCode>General</c:formatCode>
                <c:ptCount val="12"/>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Cache>
            </c:numRef>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39601</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533400</xdr:colOff>
      <xdr:row>1</xdr:row>
      <xdr:rowOff>47625</xdr:rowOff>
    </xdr:from>
    <xdr:to>
      <xdr:col>19</xdr:col>
      <xdr:colOff>57150</xdr:colOff>
      <xdr:row>17</xdr:row>
      <xdr:rowOff>180975</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1.882684837961" createdVersion="8" refreshedVersion="8" minRefreshableVersion="3" recordCount="44" xr:uid="{9ACD62F8-C945-420C-821F-5E25827C6DC0}">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4C61BE-3667-48DC-9729-0CA451C295E2}" name="PivotTable5"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2:J19" firstHeaderRow="1" firstDataRow="1" firstDataCol="1"/>
  <pivotFields count="7">
    <pivotField showAll="0"/>
    <pivotField axis="axisRow" showAll="0">
      <items count="5">
        <item x="0"/>
        <item x="1"/>
        <item x="2"/>
        <item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7">
    <i>
      <x/>
    </i>
    <i r="1">
      <x/>
    </i>
    <i r="1">
      <x v="1"/>
    </i>
    <i r="1">
      <x v="3"/>
    </i>
    <i r="1">
      <x v="5"/>
    </i>
    <i r="1">
      <x v="6"/>
    </i>
    <i r="1">
      <x v="8"/>
    </i>
    <i>
      <x v="1"/>
    </i>
    <i r="1">
      <x v="2"/>
    </i>
    <i r="1">
      <x v="4"/>
    </i>
    <i r="1">
      <x v="7"/>
    </i>
    <i>
      <x v="2"/>
    </i>
    <i r="1">
      <x v="9"/>
    </i>
    <i r="1">
      <x v="10"/>
    </i>
    <i>
      <x v="3"/>
    </i>
    <i r="1">
      <x v="11"/>
    </i>
    <i t="grand">
      <x/>
    </i>
  </rowItems>
  <colItems count="1">
    <i/>
  </colItems>
  <dataFields count="1">
    <dataField name="Sum of Total"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168" dataDxfId="169" tableBorderDxfId="177">
  <autoFilter ref="A1:G45" xr:uid="{30C78936-40F5-4A34-AB14-E228675C4535}"/>
  <tableColumns count="7">
    <tableColumn id="1" xr3:uid="{719FB7CB-CE0D-4A37-928D-17323892BF78}" name="OrderDate" dataDxfId="176"/>
    <tableColumn id="2" xr3:uid="{48D26B01-5B78-4A35-BF23-7246C569C726}" name="Region" dataDxfId="175"/>
    <tableColumn id="3" xr3:uid="{77B04DB7-4A45-4BDE-AA4D-93059086AF61}" name="Rep" dataDxfId="174"/>
    <tableColumn id="4" xr3:uid="{B45DA848-F183-4786-80CA-6EB3E82E57F5}" name="Item" dataDxfId="173"/>
    <tableColumn id="5" xr3:uid="{6E2376DA-2214-4170-8137-5C5F2769E1F5}" name="Units" dataDxfId="172"/>
    <tableColumn id="6" xr3:uid="{2FC1BD59-4C23-445E-B03D-63A610471A45}" name="Unit Cost" dataDxfId="171"/>
    <tableColumn id="7" xr3:uid="{090A102B-7949-49F9-859E-2D7177CEDAA2}" name="Total" dataDxfId="170">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27" t="s">
        <v>0</v>
      </c>
      <c r="C2" s="27"/>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dimension ref="A1:N70"/>
  <sheetViews>
    <sheetView tabSelected="1" topLeftCell="A29" zoomScale="115" zoomScaleNormal="115" workbookViewId="0">
      <selection activeCell="B43" sqref="B43:N43"/>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28" t="s">
        <v>85</v>
      </c>
      <c r="B1" s="29"/>
      <c r="C1" s="30"/>
    </row>
    <row r="2" spans="1:14" ht="17.25" customHeight="1" x14ac:dyDescent="0.25">
      <c r="A2" s="24">
        <v>1</v>
      </c>
      <c r="B2" s="31" t="s">
        <v>72</v>
      </c>
      <c r="C2" s="32"/>
      <c r="D2" s="32"/>
      <c r="E2" s="32"/>
      <c r="F2" s="32"/>
      <c r="G2" s="32"/>
      <c r="H2" s="32"/>
      <c r="I2" s="32"/>
      <c r="J2" s="32"/>
      <c r="K2" s="32"/>
      <c r="L2" s="32"/>
      <c r="M2" s="32"/>
      <c r="N2" s="33"/>
    </row>
    <row r="3" spans="1:14" ht="15" x14ac:dyDescent="0.25">
      <c r="A3" s="25">
        <v>2</v>
      </c>
      <c r="B3" s="34" t="s">
        <v>69</v>
      </c>
      <c r="C3" s="35"/>
      <c r="D3" s="35"/>
      <c r="E3" s="35"/>
      <c r="F3" s="35"/>
      <c r="G3" s="35"/>
      <c r="H3" s="35"/>
      <c r="I3" s="35"/>
      <c r="J3" s="35"/>
      <c r="K3" s="35"/>
      <c r="L3" s="35"/>
      <c r="M3" s="35"/>
      <c r="N3" s="36"/>
    </row>
    <row r="4" spans="1:14" ht="15" x14ac:dyDescent="0.25">
      <c r="A4" s="25">
        <v>3</v>
      </c>
      <c r="B4" s="34" t="s">
        <v>70</v>
      </c>
      <c r="C4" s="35"/>
      <c r="D4" s="35"/>
      <c r="E4" s="35"/>
      <c r="F4" s="35"/>
      <c r="G4" s="35"/>
      <c r="H4" s="35"/>
      <c r="I4" s="35"/>
      <c r="J4" s="35"/>
      <c r="K4" s="35"/>
      <c r="L4" s="35"/>
      <c r="M4" s="35"/>
      <c r="N4" s="36"/>
    </row>
    <row r="5" spans="1:14" ht="21" customHeight="1" x14ac:dyDescent="0.25">
      <c r="A5" s="25">
        <v>4</v>
      </c>
      <c r="B5" s="37" t="s">
        <v>68</v>
      </c>
      <c r="C5" s="38"/>
      <c r="D5" s="38"/>
      <c r="E5" s="38"/>
      <c r="F5" s="38"/>
      <c r="G5" s="38"/>
      <c r="H5" s="38"/>
      <c r="I5" s="38"/>
      <c r="J5" s="38"/>
      <c r="K5" s="38"/>
      <c r="L5" s="38"/>
      <c r="M5" s="38"/>
      <c r="N5" s="39"/>
    </row>
    <row r="6" spans="1:14" ht="21" customHeight="1" x14ac:dyDescent="0.25">
      <c r="A6" s="25"/>
      <c r="B6" s="34"/>
      <c r="C6" s="35"/>
      <c r="D6" s="35"/>
      <c r="E6" s="35"/>
      <c r="F6" s="35"/>
      <c r="G6" s="35"/>
      <c r="H6" s="35"/>
      <c r="I6" s="35"/>
      <c r="J6" s="35"/>
      <c r="K6" s="35"/>
      <c r="L6" s="35"/>
      <c r="M6" s="35"/>
      <c r="N6" s="36"/>
    </row>
    <row r="7" spans="1:14" ht="20.25" customHeight="1" thickBot="1" x14ac:dyDescent="0.3">
      <c r="A7" s="25">
        <v>5</v>
      </c>
      <c r="B7" s="40" t="s">
        <v>71</v>
      </c>
      <c r="C7" s="41"/>
      <c r="D7" s="42"/>
      <c r="E7" s="41"/>
      <c r="F7" s="41"/>
      <c r="G7" s="41"/>
      <c r="H7" s="41"/>
      <c r="I7" s="41"/>
      <c r="J7" s="41"/>
      <c r="K7" s="41"/>
      <c r="L7" s="41"/>
      <c r="M7" s="41"/>
      <c r="N7" s="43"/>
    </row>
    <row r="8" spans="1:14" ht="17.25" customHeight="1" thickBot="1" x14ac:dyDescent="0.3">
      <c r="A8" s="25">
        <v>6</v>
      </c>
      <c r="B8" s="19" t="s">
        <v>91</v>
      </c>
      <c r="C8" s="21" t="s">
        <v>73</v>
      </c>
      <c r="D8" s="23">
        <f>1+1</f>
        <v>2</v>
      </c>
      <c r="E8" s="57" t="s">
        <v>74</v>
      </c>
      <c r="F8" s="58"/>
      <c r="G8" s="57"/>
      <c r="H8" s="57"/>
      <c r="I8" s="57"/>
      <c r="J8" s="57"/>
      <c r="K8" s="57"/>
      <c r="L8" s="57"/>
      <c r="M8" s="57"/>
      <c r="N8" s="59"/>
    </row>
    <row r="9" spans="1:14" ht="17.25" customHeight="1" thickBot="1" x14ac:dyDescent="0.3">
      <c r="A9" s="25">
        <v>7</v>
      </c>
      <c r="B9" s="17" t="s">
        <v>92</v>
      </c>
      <c r="C9" s="18" t="s">
        <v>75</v>
      </c>
      <c r="D9" s="22">
        <v>100</v>
      </c>
      <c r="E9" s="20">
        <v>25</v>
      </c>
      <c r="F9" s="23">
        <f>D9-E9</f>
        <v>75</v>
      </c>
      <c r="G9" s="57" t="s">
        <v>76</v>
      </c>
      <c r="H9" s="57"/>
      <c r="I9" s="57"/>
      <c r="J9" s="57"/>
      <c r="K9" s="57"/>
      <c r="L9" s="57"/>
      <c r="M9" s="57"/>
      <c r="N9" s="59"/>
    </row>
    <row r="10" spans="1:14" ht="17.25" customHeight="1" x14ac:dyDescent="0.25">
      <c r="A10" s="25">
        <v>8</v>
      </c>
      <c r="B10" s="37" t="s">
        <v>77</v>
      </c>
      <c r="C10" s="38"/>
      <c r="D10" s="38"/>
      <c r="E10" s="38"/>
      <c r="F10" s="53"/>
      <c r="G10" s="38"/>
      <c r="H10" s="38"/>
      <c r="I10" s="38"/>
      <c r="J10" s="38"/>
      <c r="K10" s="38"/>
      <c r="L10" s="38"/>
      <c r="M10" s="38"/>
      <c r="N10" s="39"/>
    </row>
    <row r="11" spans="1:14" ht="27.75" customHeight="1" x14ac:dyDescent="0.25">
      <c r="A11" s="25"/>
      <c r="B11" s="47" t="s">
        <v>88</v>
      </c>
      <c r="C11" s="48"/>
      <c r="D11" s="48"/>
      <c r="E11" s="48"/>
      <c r="F11" s="48"/>
      <c r="G11" s="48"/>
      <c r="H11" s="48"/>
      <c r="I11" s="48"/>
      <c r="J11" s="48"/>
      <c r="K11" s="48"/>
      <c r="L11" s="48"/>
      <c r="M11" s="48"/>
      <c r="N11" s="49"/>
    </row>
    <row r="12" spans="1:14" ht="17.25" customHeight="1" x14ac:dyDescent="0.25">
      <c r="A12" s="25"/>
      <c r="B12" s="34"/>
      <c r="C12" s="35"/>
      <c r="D12" s="35"/>
      <c r="E12" s="35"/>
      <c r="F12" s="35"/>
      <c r="G12" s="35"/>
      <c r="H12" s="35"/>
      <c r="I12" s="35"/>
      <c r="J12" s="35"/>
      <c r="K12" s="35"/>
      <c r="L12" s="35"/>
      <c r="M12" s="35"/>
      <c r="N12" s="36"/>
    </row>
    <row r="13" spans="1:14" ht="17.25" customHeight="1" x14ac:dyDescent="0.25">
      <c r="A13" s="25">
        <v>9</v>
      </c>
      <c r="B13" s="34" t="s">
        <v>78</v>
      </c>
      <c r="C13" s="35"/>
      <c r="D13" s="35"/>
      <c r="E13" s="35"/>
      <c r="F13" s="35"/>
      <c r="G13" s="35"/>
      <c r="H13" s="35"/>
      <c r="I13" s="35"/>
      <c r="J13" s="35"/>
      <c r="K13" s="35"/>
      <c r="L13" s="35"/>
      <c r="M13" s="35"/>
      <c r="N13" s="36"/>
    </row>
    <row r="14" spans="1:14" ht="17.25" customHeight="1" x14ac:dyDescent="0.25">
      <c r="A14" s="25">
        <v>10</v>
      </c>
      <c r="B14" s="34" t="s">
        <v>79</v>
      </c>
      <c r="C14" s="35"/>
      <c r="D14" s="35"/>
      <c r="E14" s="35"/>
      <c r="F14" s="35"/>
      <c r="G14" s="35"/>
      <c r="H14" s="35"/>
      <c r="I14" s="35"/>
      <c r="J14" s="35"/>
      <c r="K14" s="35"/>
      <c r="L14" s="35"/>
      <c r="M14" s="35"/>
      <c r="N14" s="36"/>
    </row>
    <row r="15" spans="1:14" ht="17.25" customHeight="1" x14ac:dyDescent="0.25">
      <c r="A15" s="25">
        <v>11</v>
      </c>
      <c r="B15" s="34" t="s">
        <v>80</v>
      </c>
      <c r="C15" s="35"/>
      <c r="D15" s="35"/>
      <c r="E15" s="35"/>
      <c r="F15" s="35"/>
      <c r="G15" s="35"/>
      <c r="H15" s="35"/>
      <c r="I15" s="35"/>
      <c r="J15" s="35"/>
      <c r="K15" s="35"/>
      <c r="L15" s="35"/>
      <c r="M15" s="35"/>
      <c r="N15" s="36"/>
    </row>
    <row r="16" spans="1:14" ht="47.25" customHeight="1" x14ac:dyDescent="0.25">
      <c r="A16" s="25">
        <v>12</v>
      </c>
      <c r="B16" s="34" t="s">
        <v>84</v>
      </c>
      <c r="C16" s="35"/>
      <c r="D16" s="35"/>
      <c r="E16" s="35"/>
      <c r="F16" s="35"/>
      <c r="G16" s="35"/>
      <c r="H16" s="35"/>
      <c r="I16" s="35"/>
      <c r="J16" s="35"/>
      <c r="K16" s="35"/>
      <c r="L16" s="35"/>
      <c r="M16" s="35"/>
      <c r="N16" s="36"/>
    </row>
    <row r="17" spans="1:14" ht="18" customHeight="1" x14ac:dyDescent="0.25">
      <c r="A17" s="25"/>
      <c r="B17" s="44"/>
      <c r="C17" s="45"/>
      <c r="D17" s="45"/>
      <c r="E17" s="45"/>
      <c r="F17" s="45"/>
      <c r="G17" s="45"/>
      <c r="H17" s="45"/>
      <c r="I17" s="45"/>
      <c r="J17" s="45"/>
      <c r="K17" s="45"/>
      <c r="L17" s="45"/>
      <c r="M17" s="45"/>
      <c r="N17" s="46"/>
    </row>
    <row r="18" spans="1:14" ht="17.25" customHeight="1" x14ac:dyDescent="0.25">
      <c r="A18" s="25">
        <v>13</v>
      </c>
      <c r="B18" s="50" t="s">
        <v>82</v>
      </c>
      <c r="C18" s="51"/>
      <c r="D18" s="51"/>
      <c r="E18" s="51"/>
      <c r="F18" s="51"/>
      <c r="G18" s="51"/>
      <c r="H18" s="51"/>
      <c r="I18" s="51"/>
      <c r="J18" s="51"/>
      <c r="K18" s="51"/>
      <c r="L18" s="51"/>
      <c r="M18" s="51"/>
      <c r="N18" s="52"/>
    </row>
    <row r="19" spans="1:14" ht="20.25" customHeight="1" x14ac:dyDescent="0.25">
      <c r="A19" s="25">
        <v>14</v>
      </c>
      <c r="B19" s="37" t="s">
        <v>81</v>
      </c>
      <c r="C19" s="38"/>
      <c r="D19" s="38"/>
      <c r="E19" s="38"/>
      <c r="F19" s="38"/>
      <c r="G19" s="38"/>
      <c r="H19" s="38"/>
      <c r="I19" s="38"/>
      <c r="J19" s="38"/>
      <c r="K19" s="38"/>
      <c r="L19" s="38"/>
      <c r="M19" s="38"/>
      <c r="N19" s="39"/>
    </row>
    <row r="20" spans="1:14" ht="17.25" customHeight="1" x14ac:dyDescent="0.25">
      <c r="A20" s="25">
        <v>15</v>
      </c>
      <c r="B20" s="34" t="s">
        <v>83</v>
      </c>
      <c r="C20" s="35"/>
      <c r="D20" s="35"/>
      <c r="E20" s="35"/>
      <c r="F20" s="35"/>
      <c r="G20" s="35"/>
      <c r="H20" s="35"/>
      <c r="I20" s="35"/>
      <c r="J20" s="35"/>
      <c r="K20" s="35"/>
      <c r="L20" s="35"/>
      <c r="M20" s="35"/>
      <c r="N20" s="36"/>
    </row>
    <row r="21" spans="1:14" ht="17.25" customHeight="1" x14ac:dyDescent="0.25">
      <c r="A21" s="25">
        <v>16</v>
      </c>
      <c r="B21" s="34" t="s">
        <v>86</v>
      </c>
      <c r="C21" s="35"/>
      <c r="D21" s="35"/>
      <c r="E21" s="35"/>
      <c r="F21" s="35"/>
      <c r="G21" s="35"/>
      <c r="H21" s="35"/>
      <c r="I21" s="35"/>
      <c r="J21" s="35"/>
      <c r="K21" s="35"/>
      <c r="L21" s="35"/>
      <c r="M21" s="35"/>
      <c r="N21" s="36"/>
    </row>
    <row r="22" spans="1:14" ht="17.25" customHeight="1" x14ac:dyDescent="0.25">
      <c r="A22" s="25">
        <v>17</v>
      </c>
      <c r="B22" s="34" t="s">
        <v>87</v>
      </c>
      <c r="C22" s="35"/>
      <c r="D22" s="35"/>
      <c r="E22" s="35"/>
      <c r="F22" s="35"/>
      <c r="G22" s="35"/>
      <c r="H22" s="35"/>
      <c r="I22" s="35"/>
      <c r="J22" s="35"/>
      <c r="K22" s="35"/>
      <c r="L22" s="35"/>
      <c r="M22" s="35"/>
      <c r="N22" s="36"/>
    </row>
    <row r="23" spans="1:14" ht="17.25" customHeight="1" x14ac:dyDescent="0.25">
      <c r="A23" s="25"/>
      <c r="B23" s="44"/>
      <c r="C23" s="45"/>
      <c r="D23" s="45"/>
      <c r="E23" s="45"/>
      <c r="F23" s="45"/>
      <c r="G23" s="45"/>
      <c r="H23" s="45"/>
      <c r="I23" s="45"/>
      <c r="J23" s="45"/>
      <c r="K23" s="45"/>
      <c r="L23" s="45"/>
      <c r="M23" s="45"/>
      <c r="N23" s="46"/>
    </row>
    <row r="24" spans="1:14" ht="17.25" customHeight="1" x14ac:dyDescent="0.25">
      <c r="A24" s="25">
        <v>18</v>
      </c>
      <c r="B24" s="34" t="s">
        <v>89</v>
      </c>
      <c r="C24" s="35"/>
      <c r="D24" s="35"/>
      <c r="E24" s="35"/>
      <c r="F24" s="35"/>
      <c r="G24" s="35"/>
      <c r="H24" s="35"/>
      <c r="I24" s="35"/>
      <c r="J24" s="35"/>
      <c r="K24" s="35"/>
      <c r="L24" s="35"/>
      <c r="M24" s="35"/>
      <c r="N24" s="36"/>
    </row>
    <row r="25" spans="1:14" ht="28.5" customHeight="1" x14ac:dyDescent="0.25">
      <c r="A25" s="25">
        <v>19</v>
      </c>
      <c r="B25" s="34" t="s">
        <v>95</v>
      </c>
      <c r="C25" s="35"/>
      <c r="D25" s="35"/>
      <c r="E25" s="35"/>
      <c r="F25" s="35"/>
      <c r="G25" s="35"/>
      <c r="H25" s="35"/>
      <c r="I25" s="35"/>
      <c r="J25" s="35"/>
      <c r="K25" s="35"/>
      <c r="L25" s="35"/>
      <c r="M25" s="35"/>
      <c r="N25" s="36"/>
    </row>
    <row r="26" spans="1:14" ht="63.75" customHeight="1" x14ac:dyDescent="0.25">
      <c r="A26" s="25">
        <v>20</v>
      </c>
      <c r="B26" s="34" t="s">
        <v>90</v>
      </c>
      <c r="C26" s="35"/>
      <c r="D26" s="35"/>
      <c r="E26" s="35"/>
      <c r="F26" s="35"/>
      <c r="G26" s="35"/>
      <c r="H26" s="35"/>
      <c r="I26" s="35"/>
      <c r="J26" s="35"/>
      <c r="K26" s="35"/>
      <c r="L26" s="35"/>
      <c r="M26" s="35"/>
      <c r="N26" s="36"/>
    </row>
    <row r="27" spans="1:14" ht="15.75" customHeight="1" x14ac:dyDescent="0.25">
      <c r="A27" s="25"/>
      <c r="B27" s="44"/>
      <c r="C27" s="45"/>
      <c r="D27" s="45"/>
      <c r="E27" s="45"/>
      <c r="F27" s="45"/>
      <c r="G27" s="45"/>
      <c r="H27" s="45"/>
      <c r="I27" s="45"/>
      <c r="J27" s="45"/>
      <c r="K27" s="45"/>
      <c r="L27" s="45"/>
      <c r="M27" s="45"/>
      <c r="N27" s="46"/>
    </row>
    <row r="28" spans="1:14" ht="17.25" customHeight="1" x14ac:dyDescent="0.25">
      <c r="A28" s="26">
        <v>21</v>
      </c>
      <c r="B28" s="34" t="s">
        <v>94</v>
      </c>
      <c r="C28" s="35"/>
      <c r="D28" s="35"/>
      <c r="E28" s="35"/>
      <c r="F28" s="35"/>
      <c r="G28" s="35"/>
      <c r="H28" s="35"/>
      <c r="I28" s="35"/>
      <c r="J28" s="35"/>
      <c r="K28" s="35"/>
      <c r="L28" s="35"/>
      <c r="M28" s="35"/>
      <c r="N28" s="36"/>
    </row>
    <row r="29" spans="1:14" ht="27.75" customHeight="1" x14ac:dyDescent="0.25">
      <c r="A29" s="25">
        <v>22</v>
      </c>
      <c r="B29" s="34" t="s">
        <v>93</v>
      </c>
      <c r="C29" s="35"/>
      <c r="D29" s="35"/>
      <c r="E29" s="35"/>
      <c r="F29" s="35"/>
      <c r="G29" s="35"/>
      <c r="H29" s="35"/>
      <c r="I29" s="35"/>
      <c r="J29" s="35"/>
      <c r="K29" s="35"/>
      <c r="L29" s="35"/>
      <c r="M29" s="35"/>
      <c r="N29" s="36"/>
    </row>
    <row r="30" spans="1:14" ht="15.75" customHeight="1" x14ac:dyDescent="0.25">
      <c r="A30" s="25"/>
      <c r="B30" s="44"/>
      <c r="C30" s="45"/>
      <c r="D30" s="45"/>
      <c r="E30" s="45"/>
      <c r="F30" s="45"/>
      <c r="G30" s="45"/>
      <c r="H30" s="45"/>
      <c r="I30" s="45"/>
      <c r="J30" s="45"/>
      <c r="K30" s="45"/>
      <c r="L30" s="45"/>
      <c r="M30" s="45"/>
      <c r="N30" s="46"/>
    </row>
    <row r="31" spans="1:14" ht="28.5" customHeight="1" x14ac:dyDescent="0.25">
      <c r="A31" s="25">
        <v>23</v>
      </c>
      <c r="B31" s="34" t="s">
        <v>97</v>
      </c>
      <c r="C31" s="35"/>
      <c r="D31" s="35"/>
      <c r="E31" s="35"/>
      <c r="F31" s="35"/>
      <c r="G31" s="35"/>
      <c r="H31" s="35"/>
      <c r="I31" s="35"/>
      <c r="J31" s="35"/>
      <c r="K31" s="35"/>
      <c r="L31" s="35"/>
      <c r="M31" s="35"/>
      <c r="N31" s="36"/>
    </row>
    <row r="32" spans="1:14" ht="17.25" customHeight="1" x14ac:dyDescent="0.25">
      <c r="A32" s="25">
        <v>24</v>
      </c>
      <c r="B32" s="34" t="s">
        <v>98</v>
      </c>
      <c r="C32" s="35"/>
      <c r="D32" s="35"/>
      <c r="E32" s="35"/>
      <c r="F32" s="35"/>
      <c r="G32" s="35"/>
      <c r="H32" s="35"/>
      <c r="I32" s="35"/>
      <c r="J32" s="35"/>
      <c r="K32" s="35"/>
      <c r="L32" s="35"/>
      <c r="M32" s="35"/>
      <c r="N32" s="36"/>
    </row>
    <row r="33" spans="1:14" ht="17.25" customHeight="1" x14ac:dyDescent="0.25">
      <c r="A33" s="25"/>
      <c r="B33" s="44"/>
      <c r="C33" s="45"/>
      <c r="D33" s="45"/>
      <c r="E33" s="45"/>
      <c r="F33" s="45"/>
      <c r="G33" s="45"/>
      <c r="H33" s="45"/>
      <c r="I33" s="45"/>
      <c r="J33" s="45"/>
      <c r="K33" s="45"/>
      <c r="L33" s="45"/>
      <c r="M33" s="45"/>
      <c r="N33" s="46"/>
    </row>
    <row r="34" spans="1:14" ht="17.25" customHeight="1" x14ac:dyDescent="0.25">
      <c r="A34" s="25">
        <v>25</v>
      </c>
      <c r="B34" s="40" t="s">
        <v>99</v>
      </c>
      <c r="C34" s="35"/>
      <c r="D34" s="35"/>
      <c r="E34" s="35"/>
      <c r="F34" s="35"/>
      <c r="G34" s="35"/>
      <c r="H34" s="35"/>
      <c r="I34" s="35"/>
      <c r="J34" s="35"/>
      <c r="K34" s="35"/>
      <c r="L34" s="35"/>
      <c r="M34" s="35"/>
      <c r="N34" s="36"/>
    </row>
    <row r="35" spans="1:14" ht="17.25" customHeight="1" x14ac:dyDescent="0.25">
      <c r="A35" s="25">
        <v>26</v>
      </c>
      <c r="B35" s="34" t="s">
        <v>100</v>
      </c>
      <c r="C35" s="35"/>
      <c r="D35" s="35"/>
      <c r="E35" s="35"/>
      <c r="F35" s="35"/>
      <c r="G35" s="35"/>
      <c r="H35" s="35"/>
      <c r="I35" s="35"/>
      <c r="J35" s="35"/>
      <c r="K35" s="35"/>
      <c r="L35" s="35"/>
      <c r="M35" s="35"/>
      <c r="N35" s="36"/>
    </row>
    <row r="36" spans="1:14" ht="45.75" customHeight="1" x14ac:dyDescent="0.25">
      <c r="A36" s="25">
        <v>27</v>
      </c>
      <c r="B36" s="34" t="s">
        <v>101</v>
      </c>
      <c r="C36" s="35"/>
      <c r="D36" s="35"/>
      <c r="E36" s="35"/>
      <c r="F36" s="35"/>
      <c r="G36" s="35"/>
      <c r="H36" s="35"/>
      <c r="I36" s="35"/>
      <c r="J36" s="35"/>
      <c r="K36" s="35"/>
      <c r="L36" s="35"/>
      <c r="M36" s="35"/>
      <c r="N36" s="36"/>
    </row>
    <row r="37" spans="1:14" ht="17.25" customHeight="1" x14ac:dyDescent="0.25">
      <c r="A37" s="25">
        <v>28</v>
      </c>
      <c r="B37" s="34" t="s">
        <v>102</v>
      </c>
      <c r="C37" s="35"/>
      <c r="D37" s="35"/>
      <c r="E37" s="35"/>
      <c r="F37" s="35"/>
      <c r="G37" s="35"/>
      <c r="H37" s="35"/>
      <c r="I37" s="35"/>
      <c r="J37" s="35"/>
      <c r="K37" s="35"/>
      <c r="L37" s="35"/>
      <c r="M37" s="35"/>
      <c r="N37" s="36"/>
    </row>
    <row r="38" spans="1:14" ht="42.75" customHeight="1" x14ac:dyDescent="0.25">
      <c r="A38" s="25">
        <v>29</v>
      </c>
      <c r="B38" s="37" t="s">
        <v>103</v>
      </c>
      <c r="C38" s="38"/>
      <c r="D38" s="38"/>
      <c r="E38" s="38"/>
      <c r="F38" s="38"/>
      <c r="G38" s="38"/>
      <c r="H38" s="38"/>
      <c r="I38" s="38"/>
      <c r="J38" s="38"/>
      <c r="K38" s="38"/>
      <c r="L38" s="38"/>
      <c r="M38" s="38"/>
      <c r="N38" s="39"/>
    </row>
    <row r="39" spans="1:14" ht="78" customHeight="1" x14ac:dyDescent="0.25">
      <c r="A39" s="25">
        <v>30</v>
      </c>
      <c r="B39" s="34" t="s">
        <v>104</v>
      </c>
      <c r="C39" s="35"/>
      <c r="D39" s="35"/>
      <c r="E39" s="35"/>
      <c r="F39" s="35"/>
      <c r="G39" s="35"/>
      <c r="H39" s="35"/>
      <c r="I39" s="35"/>
      <c r="J39" s="35"/>
      <c r="K39" s="35"/>
      <c r="L39" s="35"/>
      <c r="M39" s="35"/>
      <c r="N39" s="36"/>
    </row>
    <row r="40" spans="1:14" ht="17.25" customHeight="1" x14ac:dyDescent="0.25">
      <c r="A40" s="25"/>
      <c r="B40" s="44"/>
      <c r="C40" s="45"/>
      <c r="D40" s="45"/>
      <c r="E40" s="45"/>
      <c r="F40" s="45"/>
      <c r="G40" s="45"/>
      <c r="H40" s="45"/>
      <c r="I40" s="45"/>
      <c r="J40" s="45"/>
      <c r="K40" s="45"/>
      <c r="L40" s="45"/>
      <c r="M40" s="45"/>
      <c r="N40" s="46"/>
    </row>
    <row r="41" spans="1:14" ht="29.25" customHeight="1" x14ac:dyDescent="0.25">
      <c r="A41" s="25">
        <v>31</v>
      </c>
      <c r="B41" s="64" t="s">
        <v>116</v>
      </c>
      <c r="C41" s="57"/>
      <c r="D41" s="57"/>
      <c r="E41" s="57"/>
      <c r="F41" s="57"/>
      <c r="G41" s="57"/>
      <c r="H41" s="57"/>
      <c r="I41" s="57"/>
      <c r="J41" s="57"/>
      <c r="K41" s="57"/>
      <c r="L41" s="57"/>
      <c r="M41" s="57"/>
      <c r="N41" s="59"/>
    </row>
    <row r="42" spans="1:14" ht="28.5" customHeight="1" x14ac:dyDescent="0.25">
      <c r="A42" s="25">
        <v>32</v>
      </c>
      <c r="B42" s="64" t="s">
        <v>117</v>
      </c>
      <c r="C42" s="57"/>
      <c r="D42" s="57"/>
      <c r="E42" s="57"/>
      <c r="F42" s="57"/>
      <c r="G42" s="57"/>
      <c r="H42" s="57"/>
      <c r="I42" s="57"/>
      <c r="J42" s="57"/>
      <c r="K42" s="57"/>
      <c r="L42" s="57"/>
      <c r="M42" s="57"/>
      <c r="N42" s="59"/>
    </row>
    <row r="43" spans="1:14" ht="17.25" customHeight="1" x14ac:dyDescent="0.25">
      <c r="A43" s="25">
        <v>33</v>
      </c>
      <c r="B43" s="103" t="s">
        <v>162</v>
      </c>
      <c r="C43" s="35"/>
      <c r="D43" s="35"/>
      <c r="E43" s="35"/>
      <c r="F43" s="35"/>
      <c r="G43" s="35"/>
      <c r="H43" s="35"/>
      <c r="I43" s="35"/>
      <c r="J43" s="35"/>
      <c r="K43" s="35"/>
      <c r="L43" s="35"/>
      <c r="M43" s="35"/>
      <c r="N43" s="36"/>
    </row>
    <row r="44" spans="1:14" ht="17.25" customHeight="1" x14ac:dyDescent="0.25">
      <c r="A44" s="25">
        <v>34</v>
      </c>
      <c r="B44" s="34"/>
      <c r="C44" s="35"/>
      <c r="D44" s="35"/>
      <c r="E44" s="35"/>
      <c r="F44" s="35"/>
      <c r="G44" s="35"/>
      <c r="H44" s="35"/>
      <c r="I44" s="35"/>
      <c r="J44" s="35"/>
      <c r="K44" s="35"/>
      <c r="L44" s="35"/>
      <c r="M44" s="35"/>
      <c r="N44" s="36"/>
    </row>
    <row r="45" spans="1:14" ht="17.25" customHeight="1" x14ac:dyDescent="0.25">
      <c r="A45" s="25">
        <v>35</v>
      </c>
      <c r="B45" s="34" t="s">
        <v>96</v>
      </c>
      <c r="C45" s="35"/>
      <c r="D45" s="35"/>
      <c r="E45" s="35"/>
      <c r="F45" s="35"/>
      <c r="G45" s="35"/>
      <c r="H45" s="35"/>
      <c r="I45" s="35"/>
      <c r="J45" s="35"/>
      <c r="K45" s="35"/>
      <c r="L45" s="35"/>
      <c r="M45" s="35"/>
      <c r="N45" s="36"/>
    </row>
    <row r="46" spans="1:14" ht="17.25" customHeight="1" x14ac:dyDescent="0.25">
      <c r="A46" s="25">
        <v>36</v>
      </c>
      <c r="B46" s="34"/>
      <c r="C46" s="35"/>
      <c r="D46" s="35"/>
      <c r="E46" s="35"/>
      <c r="F46" s="35"/>
      <c r="G46" s="35"/>
      <c r="H46" s="35"/>
      <c r="I46" s="35"/>
      <c r="J46" s="35"/>
      <c r="K46" s="35"/>
      <c r="L46" s="35"/>
      <c r="M46" s="35"/>
      <c r="N46" s="36"/>
    </row>
    <row r="47" spans="1:14" ht="17.25" customHeight="1" x14ac:dyDescent="0.25">
      <c r="A47" s="25">
        <v>37</v>
      </c>
      <c r="B47" s="34"/>
      <c r="C47" s="35"/>
      <c r="D47" s="35"/>
      <c r="E47" s="35"/>
      <c r="F47" s="35"/>
      <c r="G47" s="35"/>
      <c r="H47" s="35"/>
      <c r="I47" s="35"/>
      <c r="J47" s="35"/>
      <c r="K47" s="35"/>
      <c r="L47" s="35"/>
      <c r="M47" s="35"/>
      <c r="N47" s="36"/>
    </row>
    <row r="48" spans="1:14" ht="17.25" customHeight="1" x14ac:dyDescent="0.25">
      <c r="A48" s="25">
        <v>38</v>
      </c>
      <c r="B48" s="34"/>
      <c r="C48" s="35"/>
      <c r="D48" s="35"/>
      <c r="E48" s="35"/>
      <c r="F48" s="35"/>
      <c r="G48" s="35"/>
      <c r="H48" s="35"/>
      <c r="I48" s="35"/>
      <c r="J48" s="35"/>
      <c r="K48" s="35"/>
      <c r="L48" s="35"/>
      <c r="M48" s="35"/>
      <c r="N48" s="36"/>
    </row>
    <row r="49" spans="1:14" ht="17.25" customHeight="1" x14ac:dyDescent="0.25">
      <c r="A49" s="25">
        <v>39</v>
      </c>
      <c r="B49" s="34"/>
      <c r="C49" s="35"/>
      <c r="D49" s="35"/>
      <c r="E49" s="35"/>
      <c r="F49" s="35"/>
      <c r="G49" s="35"/>
      <c r="H49" s="35"/>
      <c r="I49" s="35"/>
      <c r="J49" s="35"/>
      <c r="K49" s="35"/>
      <c r="L49" s="35"/>
      <c r="M49" s="35"/>
      <c r="N49" s="36"/>
    </row>
    <row r="50" spans="1:14" ht="17.25" customHeight="1" x14ac:dyDescent="0.25">
      <c r="A50" s="25">
        <v>40</v>
      </c>
      <c r="B50" s="34"/>
      <c r="C50" s="35"/>
      <c r="D50" s="35"/>
      <c r="E50" s="35"/>
      <c r="F50" s="35"/>
      <c r="G50" s="35"/>
      <c r="H50" s="35"/>
      <c r="I50" s="35"/>
      <c r="J50" s="35"/>
      <c r="K50" s="35"/>
      <c r="L50" s="35"/>
      <c r="M50" s="35"/>
      <c r="N50" s="36"/>
    </row>
    <row r="51" spans="1:14" ht="17.25" customHeight="1" x14ac:dyDescent="0.25">
      <c r="A51" s="25">
        <v>41</v>
      </c>
      <c r="B51" s="34"/>
      <c r="C51" s="35"/>
      <c r="D51" s="35"/>
      <c r="E51" s="35"/>
      <c r="F51" s="35"/>
      <c r="G51" s="35"/>
      <c r="H51" s="35"/>
      <c r="I51" s="35"/>
      <c r="J51" s="35"/>
      <c r="K51" s="35"/>
      <c r="L51" s="35"/>
      <c r="M51" s="35"/>
      <c r="N51" s="36"/>
    </row>
    <row r="52" spans="1:14" ht="17.25" customHeight="1" x14ac:dyDescent="0.25">
      <c r="A52" s="25">
        <v>42</v>
      </c>
      <c r="B52" s="34"/>
      <c r="C52" s="35"/>
      <c r="D52" s="35"/>
      <c r="E52" s="35"/>
      <c r="F52" s="35"/>
      <c r="G52" s="35"/>
      <c r="H52" s="35"/>
      <c r="I52" s="35"/>
      <c r="J52" s="35"/>
      <c r="K52" s="35"/>
      <c r="L52" s="35"/>
      <c r="M52" s="35"/>
      <c r="N52" s="36"/>
    </row>
    <row r="53" spans="1:14" ht="17.25" customHeight="1" x14ac:dyDescent="0.25">
      <c r="A53" s="25">
        <v>43</v>
      </c>
      <c r="B53" s="34"/>
      <c r="C53" s="35"/>
      <c r="D53" s="35"/>
      <c r="E53" s="35"/>
      <c r="F53" s="35"/>
      <c r="G53" s="35"/>
      <c r="H53" s="35"/>
      <c r="I53" s="35"/>
      <c r="J53" s="35"/>
      <c r="K53" s="35"/>
      <c r="L53" s="35"/>
      <c r="M53" s="35"/>
      <c r="N53" s="36"/>
    </row>
    <row r="54" spans="1:14" ht="17.25" customHeight="1" x14ac:dyDescent="0.25">
      <c r="A54" s="25">
        <v>44</v>
      </c>
      <c r="B54" s="34"/>
      <c r="C54" s="35"/>
      <c r="D54" s="35"/>
      <c r="E54" s="35"/>
      <c r="F54" s="35"/>
      <c r="G54" s="35"/>
      <c r="H54" s="35"/>
      <c r="I54" s="35"/>
      <c r="J54" s="35"/>
      <c r="K54" s="35"/>
      <c r="L54" s="35"/>
      <c r="M54" s="35"/>
      <c r="N54" s="36"/>
    </row>
    <row r="55" spans="1:14" ht="17.25" customHeight="1" x14ac:dyDescent="0.25">
      <c r="A55" s="25">
        <v>45</v>
      </c>
      <c r="B55" s="34"/>
      <c r="C55" s="35"/>
      <c r="D55" s="35"/>
      <c r="E55" s="35"/>
      <c r="F55" s="35"/>
      <c r="G55" s="35"/>
      <c r="H55" s="35"/>
      <c r="I55" s="35"/>
      <c r="J55" s="35"/>
      <c r="K55" s="35"/>
      <c r="L55" s="35"/>
      <c r="M55" s="35"/>
      <c r="N55" s="36"/>
    </row>
    <row r="56" spans="1:14" ht="17.25" customHeight="1" x14ac:dyDescent="0.25">
      <c r="A56" s="25">
        <v>46</v>
      </c>
      <c r="B56" s="34"/>
      <c r="C56" s="35"/>
      <c r="D56" s="35"/>
      <c r="E56" s="35"/>
      <c r="F56" s="35"/>
      <c r="G56" s="35"/>
      <c r="H56" s="35"/>
      <c r="I56" s="35"/>
      <c r="J56" s="35"/>
      <c r="K56" s="35"/>
      <c r="L56" s="35"/>
      <c r="M56" s="35"/>
      <c r="N56" s="36"/>
    </row>
    <row r="57" spans="1:14" ht="17.25" customHeight="1" x14ac:dyDescent="0.25">
      <c r="A57" s="25">
        <v>47</v>
      </c>
      <c r="B57" s="34"/>
      <c r="C57" s="35"/>
      <c r="D57" s="35"/>
      <c r="E57" s="35"/>
      <c r="F57" s="35"/>
      <c r="G57" s="35"/>
      <c r="H57" s="35"/>
      <c r="I57" s="35"/>
      <c r="J57" s="35"/>
      <c r="K57" s="35"/>
      <c r="L57" s="35"/>
      <c r="M57" s="35"/>
      <c r="N57" s="36"/>
    </row>
    <row r="58" spans="1:14" ht="17.25" customHeight="1" x14ac:dyDescent="0.25">
      <c r="A58" s="25">
        <v>48</v>
      </c>
      <c r="B58" s="34"/>
      <c r="C58" s="35"/>
      <c r="D58" s="35"/>
      <c r="E58" s="35"/>
      <c r="F58" s="35"/>
      <c r="G58" s="35"/>
      <c r="H58" s="35"/>
      <c r="I58" s="35"/>
      <c r="J58" s="35"/>
      <c r="K58" s="35"/>
      <c r="L58" s="35"/>
      <c r="M58" s="35"/>
      <c r="N58" s="36"/>
    </row>
    <row r="59" spans="1:14" ht="17.25" customHeight="1" x14ac:dyDescent="0.25">
      <c r="A59" s="25">
        <v>49</v>
      </c>
      <c r="B59" s="34"/>
      <c r="C59" s="35"/>
      <c r="D59" s="35"/>
      <c r="E59" s="35"/>
      <c r="F59" s="35"/>
      <c r="G59" s="35"/>
      <c r="H59" s="35"/>
      <c r="I59" s="35"/>
      <c r="J59" s="35"/>
      <c r="K59" s="35"/>
      <c r="L59" s="35"/>
      <c r="M59" s="35"/>
      <c r="N59" s="36"/>
    </row>
    <row r="60" spans="1:14" ht="17.25" customHeight="1" x14ac:dyDescent="0.25">
      <c r="A60" s="25">
        <v>50</v>
      </c>
      <c r="B60" s="34"/>
      <c r="C60" s="35"/>
      <c r="D60" s="35"/>
      <c r="E60" s="35"/>
      <c r="F60" s="35"/>
      <c r="G60" s="35"/>
      <c r="H60" s="35"/>
      <c r="I60" s="35"/>
      <c r="J60" s="35"/>
      <c r="K60" s="35"/>
      <c r="L60" s="35"/>
      <c r="M60" s="35"/>
      <c r="N60" s="36"/>
    </row>
    <row r="61" spans="1:14" ht="17.25" customHeight="1" x14ac:dyDescent="0.25">
      <c r="A61" s="25">
        <v>51</v>
      </c>
      <c r="B61" s="34"/>
      <c r="C61" s="35"/>
      <c r="D61" s="35"/>
      <c r="E61" s="35"/>
      <c r="F61" s="35"/>
      <c r="G61" s="35"/>
      <c r="H61" s="35"/>
      <c r="I61" s="35"/>
      <c r="J61" s="35"/>
      <c r="K61" s="35"/>
      <c r="L61" s="35"/>
      <c r="M61" s="35"/>
      <c r="N61" s="36"/>
    </row>
    <row r="62" spans="1:14" ht="17.25" customHeight="1" x14ac:dyDescent="0.25">
      <c r="A62" s="25">
        <v>52</v>
      </c>
      <c r="B62" s="34"/>
      <c r="C62" s="35"/>
      <c r="D62" s="35"/>
      <c r="E62" s="35"/>
      <c r="F62" s="35"/>
      <c r="G62" s="35"/>
      <c r="H62" s="35"/>
      <c r="I62" s="35"/>
      <c r="J62" s="35"/>
      <c r="K62" s="35"/>
      <c r="L62" s="35"/>
      <c r="M62" s="35"/>
      <c r="N62" s="36"/>
    </row>
    <row r="63" spans="1:14" ht="17.25" customHeight="1" x14ac:dyDescent="0.25">
      <c r="A63" s="25">
        <v>53</v>
      </c>
      <c r="B63" s="34"/>
      <c r="C63" s="35"/>
      <c r="D63" s="35"/>
      <c r="E63" s="35"/>
      <c r="F63" s="35"/>
      <c r="G63" s="35"/>
      <c r="H63" s="35"/>
      <c r="I63" s="35"/>
      <c r="J63" s="35"/>
      <c r="K63" s="35"/>
      <c r="L63" s="35"/>
      <c r="M63" s="35"/>
      <c r="N63" s="36"/>
    </row>
    <row r="64" spans="1:14" ht="17.25" customHeight="1" x14ac:dyDescent="0.25">
      <c r="A64" s="25">
        <v>54</v>
      </c>
      <c r="B64" s="34"/>
      <c r="C64" s="35"/>
      <c r="D64" s="35"/>
      <c r="E64" s="35"/>
      <c r="F64" s="35"/>
      <c r="G64" s="35"/>
      <c r="H64" s="35"/>
      <c r="I64" s="35"/>
      <c r="J64" s="35"/>
      <c r="K64" s="35"/>
      <c r="L64" s="35"/>
      <c r="M64" s="35"/>
      <c r="N64" s="36"/>
    </row>
    <row r="65" spans="1:14" ht="17.25" customHeight="1" x14ac:dyDescent="0.25">
      <c r="A65" s="25">
        <v>55</v>
      </c>
      <c r="B65" s="34"/>
      <c r="C65" s="35"/>
      <c r="D65" s="35"/>
      <c r="E65" s="35"/>
      <c r="F65" s="35"/>
      <c r="G65" s="35"/>
      <c r="H65" s="35"/>
      <c r="I65" s="35"/>
      <c r="J65" s="35"/>
      <c r="K65" s="35"/>
      <c r="L65" s="35"/>
      <c r="M65" s="35"/>
      <c r="N65" s="36"/>
    </row>
    <row r="66" spans="1:14" ht="17.25" customHeight="1" x14ac:dyDescent="0.25">
      <c r="A66" s="25">
        <v>56</v>
      </c>
      <c r="B66" s="34"/>
      <c r="C66" s="35"/>
      <c r="D66" s="35"/>
      <c r="E66" s="35"/>
      <c r="F66" s="35"/>
      <c r="G66" s="35"/>
      <c r="H66" s="35"/>
      <c r="I66" s="35"/>
      <c r="J66" s="35"/>
      <c r="K66" s="35"/>
      <c r="L66" s="35"/>
      <c r="M66" s="35"/>
      <c r="N66" s="36"/>
    </row>
    <row r="67" spans="1:14" ht="17.25" customHeight="1" x14ac:dyDescent="0.25">
      <c r="A67" s="25">
        <v>57</v>
      </c>
      <c r="B67" s="34"/>
      <c r="C67" s="35"/>
      <c r="D67" s="35"/>
      <c r="E67" s="35"/>
      <c r="F67" s="35"/>
      <c r="G67" s="35"/>
      <c r="H67" s="35"/>
      <c r="I67" s="35"/>
      <c r="J67" s="35"/>
      <c r="K67" s="35"/>
      <c r="L67" s="35"/>
      <c r="M67" s="35"/>
      <c r="N67" s="36"/>
    </row>
    <row r="68" spans="1:14" ht="17.25" customHeight="1" x14ac:dyDescent="0.25">
      <c r="A68" s="25">
        <v>58</v>
      </c>
      <c r="B68" s="34"/>
      <c r="C68" s="35"/>
      <c r="D68" s="35"/>
      <c r="E68" s="35"/>
      <c r="F68" s="35"/>
      <c r="G68" s="35"/>
      <c r="H68" s="35"/>
      <c r="I68" s="35"/>
      <c r="J68" s="35"/>
      <c r="K68" s="35"/>
      <c r="L68" s="35"/>
      <c r="M68" s="35"/>
      <c r="N68" s="36"/>
    </row>
    <row r="69" spans="1:14" ht="17.25" customHeight="1" x14ac:dyDescent="0.25">
      <c r="A69" s="25">
        <v>59</v>
      </c>
      <c r="B69" s="34"/>
      <c r="C69" s="35"/>
      <c r="D69" s="35"/>
      <c r="E69" s="35"/>
      <c r="F69" s="35"/>
      <c r="G69" s="35"/>
      <c r="H69" s="35"/>
      <c r="I69" s="35"/>
      <c r="J69" s="35"/>
      <c r="K69" s="35"/>
      <c r="L69" s="35"/>
      <c r="M69" s="35"/>
      <c r="N69" s="36"/>
    </row>
    <row r="70" spans="1:14" ht="17.25" customHeight="1" thickBot="1" x14ac:dyDescent="0.3">
      <c r="A70" s="25">
        <v>60</v>
      </c>
      <c r="B70" s="54"/>
      <c r="C70" s="55"/>
      <c r="D70" s="55"/>
      <c r="E70" s="55"/>
      <c r="F70" s="55"/>
      <c r="G70" s="55"/>
      <c r="H70" s="55"/>
      <c r="I70" s="55"/>
      <c r="J70" s="55"/>
      <c r="K70" s="55"/>
      <c r="L70" s="55"/>
      <c r="M70" s="55"/>
      <c r="N70" s="56"/>
    </row>
  </sheetData>
  <autoFilter ref="A31:N70"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70">
    <mergeCell ref="B69:N69"/>
    <mergeCell ref="B70:N70"/>
    <mergeCell ref="E8:N8"/>
    <mergeCell ref="G9:N9"/>
    <mergeCell ref="B27:N27"/>
    <mergeCell ref="B63:N63"/>
    <mergeCell ref="B64:N64"/>
    <mergeCell ref="B65:N65"/>
    <mergeCell ref="B66:N66"/>
    <mergeCell ref="B67:N67"/>
    <mergeCell ref="B68:N68"/>
    <mergeCell ref="B57:N57"/>
    <mergeCell ref="B58:N58"/>
    <mergeCell ref="B59:N59"/>
    <mergeCell ref="B40:N40"/>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60:N60"/>
    <mergeCell ref="B61:N61"/>
    <mergeCell ref="B62:N62"/>
    <mergeCell ref="B51:N51"/>
    <mergeCell ref="B52:N52"/>
    <mergeCell ref="B53:N53"/>
    <mergeCell ref="B54:N54"/>
    <mergeCell ref="B55:N55"/>
    <mergeCell ref="B56:N56"/>
    <mergeCell ref="B50:N50"/>
    <mergeCell ref="B38:N38"/>
    <mergeCell ref="B39:N39"/>
    <mergeCell ref="B41:N41"/>
    <mergeCell ref="B42:N42"/>
    <mergeCell ref="B43:N43"/>
    <mergeCell ref="B44:N44"/>
    <mergeCell ref="B45:N45"/>
    <mergeCell ref="B46:N46"/>
    <mergeCell ref="B47:N47"/>
    <mergeCell ref="B48:N48"/>
    <mergeCell ref="B49:N49"/>
    <mergeCell ref="B7:N7"/>
    <mergeCell ref="B37:N37"/>
    <mergeCell ref="B22:N22"/>
    <mergeCell ref="B24:N24"/>
    <mergeCell ref="B26:N26"/>
    <mergeCell ref="B28:N28"/>
    <mergeCell ref="B29:N29"/>
    <mergeCell ref="B31:N31"/>
    <mergeCell ref="B32:N32"/>
    <mergeCell ref="B34:N34"/>
    <mergeCell ref="B35:N35"/>
    <mergeCell ref="B36:N36"/>
    <mergeCell ref="B30:N30"/>
    <mergeCell ref="B33:N33"/>
    <mergeCell ref="A1:C1"/>
    <mergeCell ref="B2:N2"/>
    <mergeCell ref="B3:N3"/>
    <mergeCell ref="B4:N4"/>
    <mergeCell ref="B5:N5"/>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theme="9" tint="0.79998168889431442"/>
  </sheetPr>
  <dimension ref="A1:V56"/>
  <sheetViews>
    <sheetView showGridLines="0" workbookViewId="0">
      <pane ySplit="1" topLeftCell="A2" activePane="bottomLeft" state="frozen"/>
      <selection pane="bottomLeft" activeCell="I27" sqref="I27"/>
    </sheetView>
  </sheetViews>
  <sheetFormatPr defaultRowHeight="15" x14ac:dyDescent="0.25"/>
  <cols>
    <col min="1" max="1" width="13" style="14" customWidth="1"/>
    <col min="2" max="5" width="11" customWidth="1"/>
    <col min="6" max="6" width="11.42578125" bestFit="1" customWidth="1"/>
    <col min="7" max="7" width="11" customWidth="1"/>
    <col min="9" max="9" width="20.85546875" customWidth="1"/>
    <col min="10" max="10" width="28.140625" customWidth="1"/>
  </cols>
  <sheetData>
    <row r="1" spans="1:22" ht="15.75" thickBot="1" x14ac:dyDescent="0.3">
      <c r="A1" s="77" t="s">
        <v>36</v>
      </c>
      <c r="B1" s="78" t="s">
        <v>37</v>
      </c>
      <c r="C1" s="78" t="s">
        <v>38</v>
      </c>
      <c r="D1" s="78" t="s">
        <v>39</v>
      </c>
      <c r="E1" s="78" t="s">
        <v>40</v>
      </c>
      <c r="F1" s="78" t="s">
        <v>41</v>
      </c>
      <c r="G1" s="79" t="s">
        <v>34</v>
      </c>
      <c r="H1" s="10"/>
      <c r="I1" s="60" t="s">
        <v>64</v>
      </c>
      <c r="J1" s="61"/>
      <c r="K1" s="61"/>
      <c r="L1" s="61"/>
      <c r="M1" s="61"/>
      <c r="N1" s="61"/>
      <c r="O1" s="61"/>
      <c r="P1" s="61"/>
      <c r="Q1" s="61"/>
      <c r="R1" s="61"/>
      <c r="S1" s="61"/>
      <c r="T1" s="61"/>
      <c r="U1" s="61"/>
      <c r="V1" s="62"/>
    </row>
    <row r="2" spans="1:22" s="10" customFormat="1" x14ac:dyDescent="0.25">
      <c r="A2" s="76">
        <v>44219</v>
      </c>
      <c r="B2" s="65" t="s">
        <v>42</v>
      </c>
      <c r="C2" s="65" t="s">
        <v>43</v>
      </c>
      <c r="D2" s="65" t="s">
        <v>44</v>
      </c>
      <c r="E2" s="65">
        <v>10</v>
      </c>
      <c r="F2" s="65">
        <v>19.989999999999998</v>
      </c>
      <c r="G2" s="66">
        <f>E2*F2</f>
        <v>199.89999999999998</v>
      </c>
      <c r="I2" s="12" t="s">
        <v>61</v>
      </c>
      <c r="J2" t="s">
        <v>63</v>
      </c>
      <c r="K2"/>
    </row>
    <row r="3" spans="1:22" x14ac:dyDescent="0.25">
      <c r="A3" s="67">
        <v>44236</v>
      </c>
      <c r="B3" s="68" t="s">
        <v>42</v>
      </c>
      <c r="C3" s="68" t="s">
        <v>45</v>
      </c>
      <c r="D3" s="68" t="s">
        <v>46</v>
      </c>
      <c r="E3" s="68">
        <v>40</v>
      </c>
      <c r="F3" s="68">
        <v>4.99</v>
      </c>
      <c r="G3" s="69">
        <f>E3*F3</f>
        <v>199.60000000000002</v>
      </c>
      <c r="I3" s="13" t="s">
        <v>42</v>
      </c>
      <c r="J3" s="80">
        <v>10909.43</v>
      </c>
    </row>
    <row r="4" spans="1:22" x14ac:dyDescent="0.25">
      <c r="A4" s="70">
        <v>44253</v>
      </c>
      <c r="B4" s="71" t="s">
        <v>42</v>
      </c>
      <c r="C4" s="71" t="s">
        <v>47</v>
      </c>
      <c r="D4" s="71" t="s">
        <v>48</v>
      </c>
      <c r="E4" s="71">
        <v>27</v>
      </c>
      <c r="F4" s="71">
        <v>19.989999999999998</v>
      </c>
      <c r="G4" s="72">
        <f>E4*F4</f>
        <v>539.7299999999999</v>
      </c>
      <c r="I4" s="15" t="s">
        <v>49</v>
      </c>
      <c r="J4" s="80">
        <v>438.37</v>
      </c>
    </row>
    <row r="5" spans="1:22" x14ac:dyDescent="0.25">
      <c r="A5" s="67">
        <v>44304</v>
      </c>
      <c r="B5" s="68" t="s">
        <v>42</v>
      </c>
      <c r="C5" s="68" t="s">
        <v>49</v>
      </c>
      <c r="D5" s="68" t="s">
        <v>46</v>
      </c>
      <c r="E5" s="68">
        <v>75</v>
      </c>
      <c r="F5" s="68">
        <v>1.99</v>
      </c>
      <c r="G5" s="69">
        <f>E5*F5</f>
        <v>149.25</v>
      </c>
      <c r="I5" s="15" t="s">
        <v>47</v>
      </c>
      <c r="J5" s="80">
        <v>1749.8700000000001</v>
      </c>
    </row>
    <row r="6" spans="1:22" x14ac:dyDescent="0.25">
      <c r="A6" s="70">
        <v>44321</v>
      </c>
      <c r="B6" s="71" t="s">
        <v>42</v>
      </c>
      <c r="C6" s="71" t="s">
        <v>45</v>
      </c>
      <c r="D6" s="71" t="s">
        <v>46</v>
      </c>
      <c r="E6" s="71">
        <v>90</v>
      </c>
      <c r="F6" s="71">
        <v>4.99</v>
      </c>
      <c r="G6" s="72">
        <f>E6*F6</f>
        <v>449.1</v>
      </c>
      <c r="I6" s="15" t="s">
        <v>45</v>
      </c>
      <c r="J6" s="80">
        <v>2832.15</v>
      </c>
    </row>
    <row r="7" spans="1:22" x14ac:dyDescent="0.25">
      <c r="A7" s="67">
        <v>44372</v>
      </c>
      <c r="B7" s="68" t="s">
        <v>42</v>
      </c>
      <c r="C7" s="68" t="s">
        <v>50</v>
      </c>
      <c r="D7" s="68" t="s">
        <v>46</v>
      </c>
      <c r="E7" s="68">
        <v>90</v>
      </c>
      <c r="F7" s="68">
        <v>4.99</v>
      </c>
      <c r="G7" s="69">
        <f>E7*F7</f>
        <v>449.1</v>
      </c>
      <c r="I7" s="15" t="s">
        <v>43</v>
      </c>
      <c r="J7" s="80">
        <v>2309.84</v>
      </c>
    </row>
    <row r="8" spans="1:22" x14ac:dyDescent="0.25">
      <c r="A8" s="70">
        <v>44440</v>
      </c>
      <c r="B8" s="71" t="s">
        <v>42</v>
      </c>
      <c r="C8" s="71" t="s">
        <v>51</v>
      </c>
      <c r="D8" s="71" t="s">
        <v>52</v>
      </c>
      <c r="E8" s="71">
        <v>4</v>
      </c>
      <c r="F8" s="71">
        <v>200</v>
      </c>
      <c r="G8" s="72">
        <f>E8*F8</f>
        <v>800</v>
      </c>
      <c r="I8" s="15" t="s">
        <v>50</v>
      </c>
      <c r="J8" s="80">
        <v>1387.77</v>
      </c>
    </row>
    <row r="9" spans="1:22" x14ac:dyDescent="0.25">
      <c r="A9" s="67">
        <v>44474</v>
      </c>
      <c r="B9" s="68" t="s">
        <v>42</v>
      </c>
      <c r="C9" s="68" t="s">
        <v>50</v>
      </c>
      <c r="D9" s="68" t="s">
        <v>44</v>
      </c>
      <c r="E9" s="68">
        <v>28</v>
      </c>
      <c r="F9" s="68">
        <v>8.99</v>
      </c>
      <c r="G9" s="69">
        <f>E9*F9</f>
        <v>251.72</v>
      </c>
      <c r="I9" s="15" t="s">
        <v>51</v>
      </c>
      <c r="J9" s="80">
        <v>2191.4300000000003</v>
      </c>
    </row>
    <row r="10" spans="1:22" x14ac:dyDescent="0.25">
      <c r="A10" s="70">
        <v>44525</v>
      </c>
      <c r="B10" s="71" t="s">
        <v>42</v>
      </c>
      <c r="C10" s="71" t="s">
        <v>43</v>
      </c>
      <c r="D10" s="71" t="s">
        <v>53</v>
      </c>
      <c r="E10" s="71">
        <v>96</v>
      </c>
      <c r="F10" s="71">
        <v>4.99</v>
      </c>
      <c r="G10" s="72">
        <f>E10*F10</f>
        <v>479.04</v>
      </c>
      <c r="I10" s="13" t="s">
        <v>54</v>
      </c>
      <c r="J10" s="80">
        <v>6012.1299999999992</v>
      </c>
    </row>
    <row r="11" spans="1:22" x14ac:dyDescent="0.25">
      <c r="A11" s="67">
        <v>44542</v>
      </c>
      <c r="B11" s="68" t="s">
        <v>42</v>
      </c>
      <c r="C11" s="68" t="s">
        <v>51</v>
      </c>
      <c r="D11" s="68" t="s">
        <v>46</v>
      </c>
      <c r="E11" s="68">
        <v>67</v>
      </c>
      <c r="F11" s="68">
        <v>1.29</v>
      </c>
      <c r="G11" s="69">
        <f>E11*F11</f>
        <v>86.43</v>
      </c>
      <c r="I11" s="15" t="s">
        <v>56</v>
      </c>
      <c r="J11" s="80">
        <v>536.75</v>
      </c>
    </row>
    <row r="12" spans="1:22" x14ac:dyDescent="0.25">
      <c r="A12" s="70">
        <v>44576</v>
      </c>
      <c r="B12" s="71" t="s">
        <v>42</v>
      </c>
      <c r="C12" s="71" t="s">
        <v>47</v>
      </c>
      <c r="D12" s="71" t="s">
        <v>44</v>
      </c>
      <c r="E12" s="71">
        <v>46</v>
      </c>
      <c r="F12" s="71">
        <v>8.99</v>
      </c>
      <c r="G12" s="72">
        <f>E12*F12</f>
        <v>413.54</v>
      </c>
      <c r="I12" s="15" t="s">
        <v>55</v>
      </c>
      <c r="J12" s="80">
        <v>2373.08</v>
      </c>
    </row>
    <row r="13" spans="1:22" x14ac:dyDescent="0.25">
      <c r="A13" s="67">
        <v>44593</v>
      </c>
      <c r="B13" s="68" t="s">
        <v>42</v>
      </c>
      <c r="C13" s="68" t="s">
        <v>51</v>
      </c>
      <c r="D13" s="68" t="s">
        <v>44</v>
      </c>
      <c r="E13" s="68">
        <v>87</v>
      </c>
      <c r="F13" s="68">
        <v>15</v>
      </c>
      <c r="G13" s="69">
        <f>E13*F13</f>
        <v>1305</v>
      </c>
      <c r="I13" s="15" t="s">
        <v>57</v>
      </c>
      <c r="J13" s="80">
        <v>3102.2999999999997</v>
      </c>
    </row>
    <row r="14" spans="1:22" x14ac:dyDescent="0.25">
      <c r="A14" s="70">
        <v>44644</v>
      </c>
      <c r="B14" s="71" t="s">
        <v>42</v>
      </c>
      <c r="C14" s="71" t="s">
        <v>45</v>
      </c>
      <c r="D14" s="71" t="s">
        <v>53</v>
      </c>
      <c r="E14" s="71">
        <v>50</v>
      </c>
      <c r="F14" s="71">
        <v>4.99</v>
      </c>
      <c r="G14" s="72">
        <f>E14*F14</f>
        <v>249.5</v>
      </c>
      <c r="I14" s="13" t="s">
        <v>58</v>
      </c>
      <c r="J14" s="80">
        <v>2486.7199999999998</v>
      </c>
    </row>
    <row r="15" spans="1:22" x14ac:dyDescent="0.25">
      <c r="A15" s="67">
        <v>44661</v>
      </c>
      <c r="B15" s="68" t="s">
        <v>42</v>
      </c>
      <c r="C15" s="68" t="s">
        <v>49</v>
      </c>
      <c r="D15" s="68" t="s">
        <v>46</v>
      </c>
      <c r="E15" s="68">
        <v>66</v>
      </c>
      <c r="F15" s="68">
        <v>1.99</v>
      </c>
      <c r="G15" s="69">
        <f>E15*F15</f>
        <v>131.34</v>
      </c>
      <c r="I15" s="15" t="s">
        <v>59</v>
      </c>
      <c r="J15" s="80">
        <v>1283.6099999999999</v>
      </c>
    </row>
    <row r="16" spans="1:22" x14ac:dyDescent="0.25">
      <c r="A16" s="70">
        <v>44695</v>
      </c>
      <c r="B16" s="71" t="s">
        <v>42</v>
      </c>
      <c r="C16" s="71" t="s">
        <v>47</v>
      </c>
      <c r="D16" s="71" t="s">
        <v>46</v>
      </c>
      <c r="E16" s="71">
        <v>53</v>
      </c>
      <c r="F16" s="71">
        <v>1.29</v>
      </c>
      <c r="G16" s="72">
        <f>E16*F16</f>
        <v>68.37</v>
      </c>
      <c r="I16" s="15" t="s">
        <v>60</v>
      </c>
      <c r="J16" s="80">
        <v>1203.1099999999999</v>
      </c>
    </row>
    <row r="17" spans="1:10" x14ac:dyDescent="0.25">
      <c r="A17" s="67">
        <v>44712</v>
      </c>
      <c r="B17" s="68" t="s">
        <v>42</v>
      </c>
      <c r="C17" s="68" t="s">
        <v>47</v>
      </c>
      <c r="D17" s="68" t="s">
        <v>44</v>
      </c>
      <c r="E17" s="68">
        <v>80</v>
      </c>
      <c r="F17" s="68">
        <v>8.99</v>
      </c>
      <c r="G17" s="69">
        <f>E17*F17</f>
        <v>719.2</v>
      </c>
      <c r="I17" s="13" t="s">
        <v>105</v>
      </c>
      <c r="J17" s="80"/>
    </row>
    <row r="18" spans="1:10" x14ac:dyDescent="0.25">
      <c r="A18" s="70">
        <v>44729</v>
      </c>
      <c r="B18" s="71" t="s">
        <v>42</v>
      </c>
      <c r="C18" s="71" t="s">
        <v>43</v>
      </c>
      <c r="D18" s="71" t="s">
        <v>52</v>
      </c>
      <c r="E18" s="71">
        <v>5</v>
      </c>
      <c r="F18" s="71">
        <v>125</v>
      </c>
      <c r="G18" s="72">
        <f>E18*F18</f>
        <v>625</v>
      </c>
      <c r="I18" s="15" t="s">
        <v>105</v>
      </c>
      <c r="J18" s="80"/>
    </row>
    <row r="19" spans="1:10" x14ac:dyDescent="0.25">
      <c r="A19" s="67">
        <v>44763</v>
      </c>
      <c r="B19" s="68" t="s">
        <v>42</v>
      </c>
      <c r="C19" s="68" t="s">
        <v>50</v>
      </c>
      <c r="D19" s="68" t="s">
        <v>53</v>
      </c>
      <c r="E19" s="68">
        <v>55</v>
      </c>
      <c r="F19" s="68">
        <v>12.49</v>
      </c>
      <c r="G19" s="69">
        <f>E19*F19</f>
        <v>686.95</v>
      </c>
      <c r="I19" s="13" t="s">
        <v>62</v>
      </c>
      <c r="J19" s="80">
        <v>19408.280000000002</v>
      </c>
    </row>
    <row r="20" spans="1:10" x14ac:dyDescent="0.25">
      <c r="A20" s="70">
        <v>44780</v>
      </c>
      <c r="B20" s="71" t="s">
        <v>42</v>
      </c>
      <c r="C20" s="71" t="s">
        <v>43</v>
      </c>
      <c r="D20" s="71" t="s">
        <v>53</v>
      </c>
      <c r="E20" s="71">
        <v>42</v>
      </c>
      <c r="F20" s="71">
        <v>23.95</v>
      </c>
      <c r="G20" s="72">
        <f>E20*F20</f>
        <v>1005.9</v>
      </c>
    </row>
    <row r="21" spans="1:10" x14ac:dyDescent="0.25">
      <c r="A21" s="67">
        <v>44814</v>
      </c>
      <c r="B21" s="68" t="s">
        <v>42</v>
      </c>
      <c r="C21" s="68" t="s">
        <v>47</v>
      </c>
      <c r="D21" s="68" t="s">
        <v>46</v>
      </c>
      <c r="E21" s="68">
        <v>7</v>
      </c>
      <c r="F21" s="68">
        <v>1.29</v>
      </c>
      <c r="G21" s="69">
        <f>E21*F21</f>
        <v>9.0300000000000011</v>
      </c>
    </row>
    <row r="22" spans="1:10" x14ac:dyDescent="0.25">
      <c r="A22" s="70">
        <v>44865</v>
      </c>
      <c r="B22" s="71" t="s">
        <v>42</v>
      </c>
      <c r="C22" s="71" t="s">
        <v>49</v>
      </c>
      <c r="D22" s="71" t="s">
        <v>46</v>
      </c>
      <c r="E22" s="71">
        <v>14</v>
      </c>
      <c r="F22" s="71">
        <v>1.29</v>
      </c>
      <c r="G22" s="72">
        <f>E22*F22</f>
        <v>18.060000000000002</v>
      </c>
    </row>
    <row r="23" spans="1:10" x14ac:dyDescent="0.25">
      <c r="A23" s="67">
        <v>44882</v>
      </c>
      <c r="B23" s="68" t="s">
        <v>42</v>
      </c>
      <c r="C23" s="68" t="s">
        <v>45</v>
      </c>
      <c r="D23" s="68" t="s">
        <v>44</v>
      </c>
      <c r="E23" s="68">
        <v>11</v>
      </c>
      <c r="F23" s="68">
        <v>4.99</v>
      </c>
      <c r="G23" s="69">
        <f>E23*F23</f>
        <v>54.89</v>
      </c>
    </row>
    <row r="24" spans="1:10" x14ac:dyDescent="0.25">
      <c r="A24" s="70">
        <v>44899</v>
      </c>
      <c r="B24" s="71" t="s">
        <v>42</v>
      </c>
      <c r="C24" s="71" t="s">
        <v>45</v>
      </c>
      <c r="D24" s="71" t="s">
        <v>44</v>
      </c>
      <c r="E24" s="71">
        <v>94</v>
      </c>
      <c r="F24" s="71">
        <v>19.989999999999998</v>
      </c>
      <c r="G24" s="72">
        <f>E24*F24</f>
        <v>1879.06</v>
      </c>
    </row>
    <row r="25" spans="1:10" x14ac:dyDescent="0.25">
      <c r="A25" s="67">
        <v>44916</v>
      </c>
      <c r="B25" s="68" t="s">
        <v>42</v>
      </c>
      <c r="C25" s="68" t="s">
        <v>49</v>
      </c>
      <c r="D25" s="68" t="s">
        <v>44</v>
      </c>
      <c r="E25" s="68">
        <v>28</v>
      </c>
      <c r="F25" s="68">
        <v>4.99</v>
      </c>
      <c r="G25" s="69">
        <f>E25*F25</f>
        <v>139.72</v>
      </c>
    </row>
    <row r="26" spans="1:10" x14ac:dyDescent="0.25">
      <c r="A26" s="70">
        <v>44202</v>
      </c>
      <c r="B26" s="71" t="s">
        <v>54</v>
      </c>
      <c r="C26" s="71" t="s">
        <v>55</v>
      </c>
      <c r="D26" s="71" t="s">
        <v>46</v>
      </c>
      <c r="E26" s="71">
        <v>95</v>
      </c>
      <c r="F26" s="71">
        <v>1.99</v>
      </c>
      <c r="G26" s="72">
        <f>E26*F26</f>
        <v>189.05</v>
      </c>
    </row>
    <row r="27" spans="1:10" x14ac:dyDescent="0.25">
      <c r="A27" s="67">
        <v>44287</v>
      </c>
      <c r="B27" s="68" t="s">
        <v>54</v>
      </c>
      <c r="C27" s="68" t="s">
        <v>55</v>
      </c>
      <c r="D27" s="68" t="s">
        <v>44</v>
      </c>
      <c r="E27" s="68">
        <v>60</v>
      </c>
      <c r="F27" s="68">
        <v>4.99</v>
      </c>
      <c r="G27" s="69">
        <f>E27*F27</f>
        <v>299.40000000000003</v>
      </c>
    </row>
    <row r="28" spans="1:10" x14ac:dyDescent="0.25">
      <c r="A28" s="70">
        <v>44355</v>
      </c>
      <c r="B28" s="71" t="s">
        <v>54</v>
      </c>
      <c r="C28" s="71" t="s">
        <v>55</v>
      </c>
      <c r="D28" s="71" t="s">
        <v>44</v>
      </c>
      <c r="E28" s="71">
        <v>60</v>
      </c>
      <c r="F28" s="71">
        <v>8.99</v>
      </c>
      <c r="G28" s="72">
        <f>E28*F28</f>
        <v>539.4</v>
      </c>
    </row>
    <row r="29" spans="1:10" x14ac:dyDescent="0.25">
      <c r="A29" s="67">
        <v>44389</v>
      </c>
      <c r="B29" s="68" t="s">
        <v>54</v>
      </c>
      <c r="C29" s="68" t="s">
        <v>56</v>
      </c>
      <c r="D29" s="68" t="s">
        <v>44</v>
      </c>
      <c r="E29" s="68">
        <v>29</v>
      </c>
      <c r="F29" s="68">
        <v>1.99</v>
      </c>
      <c r="G29" s="69">
        <f>E29*F29</f>
        <v>57.71</v>
      </c>
    </row>
    <row r="30" spans="1:10" x14ac:dyDescent="0.25">
      <c r="A30" s="70">
        <v>44406</v>
      </c>
      <c r="B30" s="71" t="s">
        <v>54</v>
      </c>
      <c r="C30" s="71" t="s">
        <v>57</v>
      </c>
      <c r="D30" s="71" t="s">
        <v>44</v>
      </c>
      <c r="E30" s="71">
        <v>81</v>
      </c>
      <c r="F30" s="71">
        <v>19.989999999999998</v>
      </c>
      <c r="G30" s="72">
        <f>E30*F30</f>
        <v>1619.1899999999998</v>
      </c>
    </row>
    <row r="31" spans="1:10" x14ac:dyDescent="0.25">
      <c r="A31" s="67">
        <v>44423</v>
      </c>
      <c r="B31" s="68" t="s">
        <v>54</v>
      </c>
      <c r="C31" s="68" t="s">
        <v>55</v>
      </c>
      <c r="D31" s="68" t="s">
        <v>46</v>
      </c>
      <c r="E31" s="68">
        <v>35</v>
      </c>
      <c r="F31" s="68">
        <v>4.99</v>
      </c>
      <c r="G31" s="69">
        <f>E31*F31</f>
        <v>174.65</v>
      </c>
    </row>
    <row r="32" spans="1:10" x14ac:dyDescent="0.25">
      <c r="A32" s="70">
        <v>44457</v>
      </c>
      <c r="B32" s="71" t="s">
        <v>54</v>
      </c>
      <c r="C32" s="71" t="s">
        <v>55</v>
      </c>
      <c r="D32" s="71" t="s">
        <v>53</v>
      </c>
      <c r="E32" s="71">
        <v>16</v>
      </c>
      <c r="F32" s="71">
        <v>15.99</v>
      </c>
      <c r="G32" s="72">
        <f>E32*F32</f>
        <v>255.84</v>
      </c>
    </row>
    <row r="33" spans="1:7" x14ac:dyDescent="0.25">
      <c r="A33" s="67">
        <v>44491</v>
      </c>
      <c r="B33" s="68" t="s">
        <v>54</v>
      </c>
      <c r="C33" s="68" t="s">
        <v>55</v>
      </c>
      <c r="D33" s="68" t="s">
        <v>48</v>
      </c>
      <c r="E33" s="68">
        <v>64</v>
      </c>
      <c r="F33" s="68">
        <v>8.99</v>
      </c>
      <c r="G33" s="69">
        <f>E33*F33</f>
        <v>575.36</v>
      </c>
    </row>
    <row r="34" spans="1:7" x14ac:dyDescent="0.25">
      <c r="A34" s="70">
        <v>44508</v>
      </c>
      <c r="B34" s="71" t="s">
        <v>54</v>
      </c>
      <c r="C34" s="71" t="s">
        <v>57</v>
      </c>
      <c r="D34" s="71" t="s">
        <v>48</v>
      </c>
      <c r="E34" s="71">
        <v>15</v>
      </c>
      <c r="F34" s="71">
        <v>19.989999999999998</v>
      </c>
      <c r="G34" s="72">
        <f>E34*F34</f>
        <v>299.84999999999997</v>
      </c>
    </row>
    <row r="35" spans="1:7" x14ac:dyDescent="0.25">
      <c r="A35" s="67">
        <v>44559</v>
      </c>
      <c r="B35" s="68" t="s">
        <v>54</v>
      </c>
      <c r="C35" s="68" t="s">
        <v>57</v>
      </c>
      <c r="D35" s="68" t="s">
        <v>53</v>
      </c>
      <c r="E35" s="68">
        <v>74</v>
      </c>
      <c r="F35" s="68">
        <v>15.99</v>
      </c>
      <c r="G35" s="69">
        <f>E35*F35</f>
        <v>1183.26</v>
      </c>
    </row>
    <row r="36" spans="1:7" x14ac:dyDescent="0.25">
      <c r="A36" s="70">
        <v>44610</v>
      </c>
      <c r="B36" s="71" t="s">
        <v>54</v>
      </c>
      <c r="C36" s="71" t="s">
        <v>55</v>
      </c>
      <c r="D36" s="71" t="s">
        <v>44</v>
      </c>
      <c r="E36" s="71">
        <v>5</v>
      </c>
      <c r="F36" s="71">
        <v>6</v>
      </c>
      <c r="G36" s="72">
        <f>E36*F36</f>
        <v>30</v>
      </c>
    </row>
    <row r="37" spans="1:7" x14ac:dyDescent="0.25">
      <c r="A37" s="67">
        <v>44678</v>
      </c>
      <c r="B37" s="68" t="s">
        <v>54</v>
      </c>
      <c r="C37" s="68" t="s">
        <v>56</v>
      </c>
      <c r="D37" s="68" t="s">
        <v>48</v>
      </c>
      <c r="E37" s="68">
        <v>96</v>
      </c>
      <c r="F37" s="68">
        <v>4.99</v>
      </c>
      <c r="G37" s="69">
        <f>E37*F37</f>
        <v>479.04</v>
      </c>
    </row>
    <row r="38" spans="1:7" x14ac:dyDescent="0.25">
      <c r="A38" s="70">
        <v>44746</v>
      </c>
      <c r="B38" s="71" t="s">
        <v>54</v>
      </c>
      <c r="C38" s="71" t="s">
        <v>55</v>
      </c>
      <c r="D38" s="71" t="s">
        <v>53</v>
      </c>
      <c r="E38" s="71">
        <v>62</v>
      </c>
      <c r="F38" s="71">
        <v>4.99</v>
      </c>
      <c r="G38" s="72">
        <f>E38*F38</f>
        <v>309.38</v>
      </c>
    </row>
    <row r="39" spans="1:7" x14ac:dyDescent="0.25">
      <c r="A39" s="67">
        <v>44270</v>
      </c>
      <c r="B39" s="68" t="s">
        <v>58</v>
      </c>
      <c r="C39" s="68" t="s">
        <v>59</v>
      </c>
      <c r="D39" s="68" t="s">
        <v>46</v>
      </c>
      <c r="E39" s="68">
        <v>56</v>
      </c>
      <c r="F39" s="68">
        <v>2.99</v>
      </c>
      <c r="G39" s="69">
        <f>E39*F39</f>
        <v>167.44</v>
      </c>
    </row>
    <row r="40" spans="1:7" x14ac:dyDescent="0.25">
      <c r="A40" s="70">
        <v>44338</v>
      </c>
      <c r="B40" s="71" t="s">
        <v>58</v>
      </c>
      <c r="C40" s="71" t="s">
        <v>60</v>
      </c>
      <c r="D40" s="71" t="s">
        <v>46</v>
      </c>
      <c r="E40" s="71">
        <v>32</v>
      </c>
      <c r="F40" s="71">
        <v>1.99</v>
      </c>
      <c r="G40" s="72">
        <f>E40*F40</f>
        <v>63.68</v>
      </c>
    </row>
    <row r="41" spans="1:7" x14ac:dyDescent="0.25">
      <c r="A41" s="67">
        <v>44627</v>
      </c>
      <c r="B41" s="68" t="s">
        <v>58</v>
      </c>
      <c r="C41" s="68" t="s">
        <v>59</v>
      </c>
      <c r="D41" s="68" t="s">
        <v>44</v>
      </c>
      <c r="E41" s="68">
        <v>7</v>
      </c>
      <c r="F41" s="68">
        <v>19.989999999999998</v>
      </c>
      <c r="G41" s="69">
        <f>E41*F41</f>
        <v>139.92999999999998</v>
      </c>
    </row>
    <row r="42" spans="1:7" x14ac:dyDescent="0.25">
      <c r="A42" s="70">
        <v>44797</v>
      </c>
      <c r="B42" s="71" t="s">
        <v>58</v>
      </c>
      <c r="C42" s="71" t="s">
        <v>59</v>
      </c>
      <c r="D42" s="71" t="s">
        <v>52</v>
      </c>
      <c r="E42" s="71">
        <v>3</v>
      </c>
      <c r="F42" s="71">
        <v>275</v>
      </c>
      <c r="G42" s="72">
        <f>E42*F42</f>
        <v>825</v>
      </c>
    </row>
    <row r="43" spans="1:7" x14ac:dyDescent="0.25">
      <c r="A43" s="67">
        <v>44831</v>
      </c>
      <c r="B43" s="68" t="s">
        <v>58</v>
      </c>
      <c r="C43" s="68" t="s">
        <v>59</v>
      </c>
      <c r="D43" s="68" t="s">
        <v>48</v>
      </c>
      <c r="E43" s="68">
        <v>76</v>
      </c>
      <c r="F43" s="68">
        <v>1.99</v>
      </c>
      <c r="G43" s="69">
        <f>E43*F43</f>
        <v>151.24</v>
      </c>
    </row>
    <row r="44" spans="1:7" x14ac:dyDescent="0.25">
      <c r="A44" s="70">
        <v>44848</v>
      </c>
      <c r="B44" s="71" t="s">
        <v>58</v>
      </c>
      <c r="C44" s="71" t="s">
        <v>60</v>
      </c>
      <c r="D44" s="71" t="s">
        <v>44</v>
      </c>
      <c r="E44" s="71">
        <v>57</v>
      </c>
      <c r="F44" s="71">
        <v>19.989999999999998</v>
      </c>
      <c r="G44" s="72">
        <f>E44*F44</f>
        <v>1139.4299999999998</v>
      </c>
    </row>
    <row r="45" spans="1:7" ht="15.75" thickBot="1" x14ac:dyDescent="0.3">
      <c r="A45" s="73"/>
      <c r="B45" s="74"/>
      <c r="C45" s="74"/>
      <c r="D45" s="74"/>
      <c r="E45" s="74"/>
      <c r="F45" s="74"/>
      <c r="G45" s="75"/>
    </row>
    <row r="46" spans="1:7" x14ac:dyDescent="0.25">
      <c r="A46"/>
    </row>
    <row r="47" spans="1:7" x14ac:dyDescent="0.25">
      <c r="A47"/>
    </row>
    <row r="48" spans="1:7"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sheetData>
  <mergeCells count="1">
    <mergeCell ref="I1:V1"/>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FFFF00"/>
  </sheetPr>
  <dimension ref="C1:M36"/>
  <sheetViews>
    <sheetView topLeftCell="A3" zoomScaleNormal="100" workbookViewId="0">
      <selection activeCell="M36" sqref="M36"/>
    </sheetView>
  </sheetViews>
  <sheetFormatPr defaultRowHeight="15" x14ac:dyDescent="0.25"/>
  <cols>
    <col min="1" max="1" width="45.7109375" customWidth="1"/>
    <col min="2" max="2" width="5" customWidth="1"/>
    <col min="3" max="3" width="12.28515625" customWidth="1"/>
    <col min="10" max="10" width="7.5703125" customWidth="1"/>
    <col min="11" max="11" width="10.5703125" customWidth="1"/>
    <col min="12" max="12" width="5.7109375" customWidth="1"/>
    <col min="13" max="13" width="101.5703125" customWidth="1"/>
  </cols>
  <sheetData>
    <row r="1" spans="3:13" ht="29.25" customHeight="1" thickBot="1" x14ac:dyDescent="0.3">
      <c r="C1" s="98" t="s">
        <v>106</v>
      </c>
      <c r="D1" s="98"/>
      <c r="E1" s="98"/>
      <c r="F1" s="98"/>
      <c r="G1" s="98"/>
    </row>
    <row r="2" spans="3:13" ht="15.75" thickBot="1" x14ac:dyDescent="0.3">
      <c r="C2" s="94" t="s">
        <v>113</v>
      </c>
      <c r="D2" s="95" t="s">
        <v>107</v>
      </c>
      <c r="E2" s="95" t="s">
        <v>108</v>
      </c>
      <c r="F2" s="96" t="s">
        <v>112</v>
      </c>
      <c r="L2">
        <v>1</v>
      </c>
      <c r="M2" t="s">
        <v>118</v>
      </c>
    </row>
    <row r="3" spans="3:13" x14ac:dyDescent="0.25">
      <c r="C3" s="90">
        <v>1</v>
      </c>
      <c r="D3" s="91" t="s">
        <v>57</v>
      </c>
      <c r="E3" s="92" t="s">
        <v>109</v>
      </c>
      <c r="F3" s="93">
        <v>58</v>
      </c>
      <c r="L3">
        <v>2</v>
      </c>
      <c r="M3" t="s">
        <v>114</v>
      </c>
    </row>
    <row r="4" spans="3:13" x14ac:dyDescent="0.25">
      <c r="C4" s="82">
        <v>2</v>
      </c>
      <c r="D4" s="86" t="s">
        <v>55</v>
      </c>
      <c r="E4" s="84" t="s">
        <v>109</v>
      </c>
      <c r="F4" s="85">
        <v>43</v>
      </c>
      <c r="L4">
        <v>3</v>
      </c>
      <c r="M4" t="s">
        <v>119</v>
      </c>
    </row>
    <row r="5" spans="3:13" x14ac:dyDescent="0.25">
      <c r="C5" s="82">
        <v>3</v>
      </c>
      <c r="D5" s="83" t="s">
        <v>56</v>
      </c>
      <c r="E5" s="84" t="s">
        <v>110</v>
      </c>
      <c r="F5" s="85">
        <v>65</v>
      </c>
      <c r="L5">
        <v>4</v>
      </c>
      <c r="M5" s="97" t="s">
        <v>115</v>
      </c>
    </row>
    <row r="6" spans="3:13" x14ac:dyDescent="0.25">
      <c r="C6" s="82">
        <v>4</v>
      </c>
      <c r="D6" s="86" t="s">
        <v>60</v>
      </c>
      <c r="E6" s="84" t="s">
        <v>110</v>
      </c>
      <c r="F6" s="85">
        <v>100</v>
      </c>
    </row>
    <row r="7" spans="3:13" x14ac:dyDescent="0.25">
      <c r="C7" s="82">
        <v>5</v>
      </c>
      <c r="D7" s="83" t="s">
        <v>59</v>
      </c>
      <c r="E7" s="84" t="s">
        <v>111</v>
      </c>
      <c r="F7" s="85">
        <v>45</v>
      </c>
    </row>
    <row r="8" spans="3:13" ht="15.75" thickBot="1" x14ac:dyDescent="0.3">
      <c r="C8" s="87">
        <v>6</v>
      </c>
      <c r="D8" s="88" t="s">
        <v>47</v>
      </c>
      <c r="E8" s="88" t="s">
        <v>111</v>
      </c>
      <c r="F8" s="89">
        <v>80</v>
      </c>
    </row>
    <row r="18" spans="3:13" ht="30" customHeight="1" thickBot="1" x14ac:dyDescent="0.3">
      <c r="C18" s="98" t="s">
        <v>141</v>
      </c>
      <c r="D18" s="98"/>
      <c r="E18" s="98"/>
      <c r="F18" s="98"/>
      <c r="G18" s="98"/>
      <c r="M18" s="100" t="s">
        <v>140</v>
      </c>
    </row>
    <row r="19" spans="3:13" ht="15.75" thickBot="1" x14ac:dyDescent="0.3">
      <c r="C19" s="111" t="s">
        <v>107</v>
      </c>
      <c r="D19" s="112" t="s">
        <v>126</v>
      </c>
      <c r="E19" s="112" t="s">
        <v>127</v>
      </c>
      <c r="F19" s="112" t="s">
        <v>128</v>
      </c>
      <c r="G19" s="112" t="s">
        <v>129</v>
      </c>
      <c r="H19" s="112" t="s">
        <v>130</v>
      </c>
      <c r="I19" s="112" t="s">
        <v>131</v>
      </c>
      <c r="J19" s="113" t="s">
        <v>112</v>
      </c>
      <c r="K19" s="110" t="s">
        <v>157</v>
      </c>
      <c r="M19" t="s">
        <v>120</v>
      </c>
    </row>
    <row r="20" spans="3:13" x14ac:dyDescent="0.25">
      <c r="C20" s="81" t="s">
        <v>133</v>
      </c>
      <c r="D20" s="99" t="s">
        <v>111</v>
      </c>
      <c r="E20" s="99">
        <v>20</v>
      </c>
      <c r="F20" s="99">
        <v>10</v>
      </c>
      <c r="G20" s="99">
        <v>55</v>
      </c>
      <c r="H20" s="99">
        <v>15</v>
      </c>
      <c r="I20" s="99">
        <v>20</v>
      </c>
      <c r="J20" s="114">
        <v>80</v>
      </c>
      <c r="K20" s="115">
        <v>45349</v>
      </c>
      <c r="M20" t="s">
        <v>121</v>
      </c>
    </row>
    <row r="21" spans="3:13" x14ac:dyDescent="0.25">
      <c r="C21" s="82" t="s">
        <v>134</v>
      </c>
      <c r="D21" s="84" t="s">
        <v>109</v>
      </c>
      <c r="E21" s="84">
        <v>95</v>
      </c>
      <c r="F21" s="84">
        <v>125</v>
      </c>
      <c r="G21" s="84">
        <v>79</v>
      </c>
      <c r="H21" s="84">
        <v>60</v>
      </c>
      <c r="I21" s="84">
        <v>100</v>
      </c>
      <c r="J21" s="108">
        <v>81</v>
      </c>
      <c r="K21" s="116">
        <v>45617</v>
      </c>
      <c r="M21" t="s">
        <v>122</v>
      </c>
    </row>
    <row r="22" spans="3:13" x14ac:dyDescent="0.25">
      <c r="C22" s="82" t="s">
        <v>135</v>
      </c>
      <c r="D22" s="84" t="s">
        <v>111</v>
      </c>
      <c r="E22" s="84">
        <v>130</v>
      </c>
      <c r="F22" s="84">
        <v>85</v>
      </c>
      <c r="G22" s="84">
        <v>80</v>
      </c>
      <c r="H22" s="84">
        <v>85</v>
      </c>
      <c r="I22" s="84">
        <v>95</v>
      </c>
      <c r="J22" s="108">
        <v>60</v>
      </c>
      <c r="K22" s="116">
        <v>45617</v>
      </c>
      <c r="M22" t="s">
        <v>123</v>
      </c>
    </row>
    <row r="23" spans="3:13" x14ac:dyDescent="0.25">
      <c r="C23" s="82" t="s">
        <v>136</v>
      </c>
      <c r="D23" s="84" t="s">
        <v>110</v>
      </c>
      <c r="E23" s="84">
        <v>48</v>
      </c>
      <c r="F23" s="84">
        <v>48</v>
      </c>
      <c r="G23" s="84">
        <v>48</v>
      </c>
      <c r="H23" s="84">
        <v>48</v>
      </c>
      <c r="I23" s="84">
        <v>48</v>
      </c>
      <c r="J23" s="108">
        <v>48</v>
      </c>
      <c r="K23" s="116">
        <v>45563</v>
      </c>
      <c r="M23" t="s">
        <v>124</v>
      </c>
    </row>
    <row r="24" spans="3:13" x14ac:dyDescent="0.25">
      <c r="C24" s="82" t="s">
        <v>137</v>
      </c>
      <c r="D24" s="84" t="s">
        <v>110</v>
      </c>
      <c r="E24" s="84">
        <v>55</v>
      </c>
      <c r="F24" s="84">
        <v>55</v>
      </c>
      <c r="G24" s="84">
        <v>50</v>
      </c>
      <c r="H24" s="84">
        <v>45</v>
      </c>
      <c r="I24" s="84">
        <v>65</v>
      </c>
      <c r="J24" s="108">
        <v>55</v>
      </c>
      <c r="K24" s="116">
        <v>45553</v>
      </c>
      <c r="M24" t="s">
        <v>125</v>
      </c>
    </row>
    <row r="25" spans="3:13" x14ac:dyDescent="0.25">
      <c r="C25" s="82" t="s">
        <v>138</v>
      </c>
      <c r="D25" s="84" t="s">
        <v>111</v>
      </c>
      <c r="E25" s="84">
        <v>130</v>
      </c>
      <c r="F25" s="84">
        <v>65</v>
      </c>
      <c r="G25" s="84">
        <v>60</v>
      </c>
      <c r="H25" s="84">
        <v>110</v>
      </c>
      <c r="I25" s="84">
        <v>95</v>
      </c>
      <c r="J25" s="108">
        <v>65</v>
      </c>
      <c r="K25" s="116">
        <v>45577</v>
      </c>
    </row>
    <row r="26" spans="3:13" ht="18" customHeight="1" thickBot="1" x14ac:dyDescent="0.3">
      <c r="C26" s="87" t="s">
        <v>139</v>
      </c>
      <c r="D26" s="88" t="s">
        <v>132</v>
      </c>
      <c r="E26" s="88">
        <v>65</v>
      </c>
      <c r="F26" s="88">
        <v>65</v>
      </c>
      <c r="G26" s="88">
        <v>60</v>
      </c>
      <c r="H26" s="88">
        <v>110</v>
      </c>
      <c r="I26" s="88">
        <v>95</v>
      </c>
      <c r="J26" s="109">
        <v>130</v>
      </c>
      <c r="K26" s="117">
        <v>45316</v>
      </c>
      <c r="L26" s="102"/>
      <c r="M26" s="107" t="s">
        <v>145</v>
      </c>
    </row>
    <row r="27" spans="3:13" ht="15.75" thickBot="1" x14ac:dyDescent="0.3">
      <c r="L27" s="102"/>
      <c r="M27" s="106" t="s">
        <v>146</v>
      </c>
    </row>
    <row r="28" spans="3:13" x14ac:dyDescent="0.25">
      <c r="L28" s="102">
        <v>1</v>
      </c>
      <c r="M28" t="s">
        <v>142</v>
      </c>
    </row>
    <row r="29" spans="3:13" x14ac:dyDescent="0.25">
      <c r="C29" s="101" t="s">
        <v>151</v>
      </c>
      <c r="D29" s="104">
        <v>55</v>
      </c>
      <c r="E29" s="105" t="s">
        <v>156</v>
      </c>
      <c r="L29" s="5">
        <v>2</v>
      </c>
      <c r="M29" t="s">
        <v>143</v>
      </c>
    </row>
    <row r="30" spans="3:13" x14ac:dyDescent="0.25">
      <c r="C30" s="101" t="s">
        <v>152</v>
      </c>
      <c r="D30" s="104">
        <v>50</v>
      </c>
      <c r="L30" s="102">
        <v>3</v>
      </c>
      <c r="M30" t="s">
        <v>147</v>
      </c>
    </row>
    <row r="31" spans="3:13" x14ac:dyDescent="0.25">
      <c r="C31" s="101" t="s">
        <v>153</v>
      </c>
      <c r="D31" s="104">
        <v>75</v>
      </c>
      <c r="L31" s="5">
        <v>4</v>
      </c>
      <c r="M31" t="s">
        <v>148</v>
      </c>
    </row>
    <row r="32" spans="3:13" x14ac:dyDescent="0.25">
      <c r="C32" s="101" t="s">
        <v>154</v>
      </c>
      <c r="D32" s="104" t="s">
        <v>155</v>
      </c>
      <c r="L32" s="5">
        <v>6</v>
      </c>
      <c r="M32" t="s">
        <v>144</v>
      </c>
    </row>
    <row r="33" spans="3:13" x14ac:dyDescent="0.25">
      <c r="C33" s="101"/>
      <c r="L33" s="102">
        <v>7</v>
      </c>
      <c r="M33" t="s">
        <v>149</v>
      </c>
    </row>
    <row r="34" spans="3:13" ht="15.75" thickBot="1" x14ac:dyDescent="0.3">
      <c r="C34" s="118" t="s">
        <v>160</v>
      </c>
      <c r="D34" s="119" t="s">
        <v>161</v>
      </c>
      <c r="E34" s="119"/>
      <c r="L34" s="5">
        <v>8</v>
      </c>
      <c r="M34" t="s">
        <v>150</v>
      </c>
    </row>
    <row r="35" spans="3:13" x14ac:dyDescent="0.25">
      <c r="C35" s="101" t="s">
        <v>158</v>
      </c>
      <c r="D35" s="115">
        <v>45349</v>
      </c>
    </row>
    <row r="36" spans="3:13" ht="15.75" thickBot="1" x14ac:dyDescent="0.3">
      <c r="C36" s="101" t="s">
        <v>159</v>
      </c>
      <c r="D36" s="117">
        <v>45316</v>
      </c>
    </row>
  </sheetData>
  <mergeCells count="3">
    <mergeCell ref="C1:G1"/>
    <mergeCell ref="C18:G18"/>
    <mergeCell ref="D34:E34"/>
  </mergeCells>
  <conditionalFormatting sqref="F3:F8">
    <cfRule type="colorScale" priority="31">
      <colorScale>
        <cfvo type="min"/>
        <cfvo type="percentile" val="50"/>
        <cfvo type="max"/>
        <color rgb="FFF8696B"/>
        <color rgb="FFFFEB84"/>
        <color rgb="FF63BE7B"/>
      </colorScale>
    </cfRule>
  </conditionalFormatting>
  <conditionalFormatting sqref="M19">
    <cfRule type="containsText" dxfId="38" priority="30" operator="containsText" text="Light Red Fill with Dark Red Text">
      <formula>NOT(ISERROR(SEARCH("Light Red Fill with Dark Red Text",M19)))</formula>
    </cfRule>
  </conditionalFormatting>
  <conditionalFormatting sqref="M20">
    <cfRule type="containsText" dxfId="37" priority="29" operator="containsText" text="Yellow Fill with Dark Yellow Text">
      <formula>NOT(ISERROR(SEARCH("Yellow Fill with Dark Yellow Text",M20)))</formula>
    </cfRule>
  </conditionalFormatting>
  <conditionalFormatting sqref="M21">
    <cfRule type="containsText" dxfId="36" priority="28" operator="containsText" text="Green Fill with Dark Green Text">
      <formula>NOT(ISERROR(SEARCH("Green Fill with Dark Green Text",M21)))</formula>
    </cfRule>
  </conditionalFormatting>
  <conditionalFormatting sqref="M22">
    <cfRule type="containsText" dxfId="35" priority="27" operator="containsText" text="Light Red Fill">
      <formula>NOT(ISERROR(SEARCH("Light Red Fill",M22)))</formula>
    </cfRule>
  </conditionalFormatting>
  <conditionalFormatting sqref="M23">
    <cfRule type="containsText" dxfId="34" priority="26" operator="containsText" text="Red Text">
      <formula>NOT(ISERROR(SEARCH("Red Text",M23)))</formula>
    </cfRule>
  </conditionalFormatting>
  <conditionalFormatting sqref="M24">
    <cfRule type="containsText" dxfId="33" priority="25" operator="containsText" text="Red Border">
      <formula>NOT(ISERROR(SEARCH("Red Border",M24)))</formula>
    </cfRule>
  </conditionalFormatting>
  <conditionalFormatting sqref="E20:J26">
    <cfRule type="cellIs" dxfId="32" priority="12" operator="lessThan">
      <formula>51</formula>
    </cfRule>
    <cfRule type="cellIs" dxfId="31" priority="13" operator="between">
      <formula>60</formula>
      <formula>75</formula>
    </cfRule>
    <cfRule type="cellIs" dxfId="30" priority="14" operator="greaterThan">
      <formula>75</formula>
    </cfRule>
    <cfRule type="cellIs" dxfId="29" priority="15" operator="lessThan">
      <formula>50</formula>
    </cfRule>
    <cfRule type="cellIs" dxfId="28" priority="16" operator="equal">
      <formula>55</formula>
    </cfRule>
  </conditionalFormatting>
  <conditionalFormatting sqref="D20:D26">
    <cfRule type="cellIs" dxfId="27" priority="11" operator="equal">
      <formula>"water"</formula>
    </cfRule>
  </conditionalFormatting>
  <conditionalFormatting sqref="D29">
    <cfRule type="containsText" dxfId="26" priority="10" operator="containsText" text="55">
      <formula>NOT(ISERROR(SEARCH("55",D29)))</formula>
    </cfRule>
  </conditionalFormatting>
  <conditionalFormatting sqref="D30">
    <cfRule type="containsText" dxfId="25" priority="9" operator="containsText" text="50">
      <formula>NOT(ISERROR(SEARCH("50",D30)))</formula>
    </cfRule>
  </conditionalFormatting>
  <conditionalFormatting sqref="D31">
    <cfRule type="containsText" dxfId="24" priority="8" operator="containsText" text="75">
      <formula>NOT(ISERROR(SEARCH("75",D31)))</formula>
    </cfRule>
  </conditionalFormatting>
  <conditionalFormatting sqref="D32">
    <cfRule type="containsText" dxfId="23" priority="7" operator="containsText" text="60-75">
      <formula>NOT(ISERROR(SEARCH("60-75",D32)))</formula>
    </cfRule>
  </conditionalFormatting>
  <conditionalFormatting sqref="K20:K26">
    <cfRule type="timePeriod" dxfId="4" priority="6" timePeriod="lastWeek">
      <formula>AND(TODAY()-ROUNDDOWN(K20,0)&gt;=(WEEKDAY(TODAY())),TODAY()-ROUNDDOWN(K20,0)&lt;(WEEKDAY(TODAY())+7))</formula>
    </cfRule>
    <cfRule type="timePeriod" dxfId="5" priority="5" timePeriod="nextMonth">
      <formula>AND(MONTH(K20)=MONTH(EDATE(TODAY(),0+1)),YEAR(K20)=YEAR(EDATE(TODAY(),0+1)))</formula>
    </cfRule>
  </conditionalFormatting>
  <conditionalFormatting sqref="D35">
    <cfRule type="timePeriod" dxfId="2" priority="3" timePeriod="nextMonth">
      <formula>AND(MONTH(D35)=MONTH(EDATE(TODAY(),0+1)),YEAR(D35)=YEAR(EDATE(TODAY(),0+1)))</formula>
    </cfRule>
    <cfRule type="timePeriod" dxfId="3" priority="4" timePeriod="lastWeek">
      <formula>AND(TODAY()-ROUNDDOWN(D35,0)&gt;=(WEEKDAY(TODAY())),TODAY()-ROUNDDOWN(D35,0)&lt;(WEEKDAY(TODAY())+7))</formula>
    </cfRule>
  </conditionalFormatting>
  <conditionalFormatting sqref="D36">
    <cfRule type="timePeriod" dxfId="0" priority="1" timePeriod="nextMonth">
      <formula>AND(MONTH(D36)=MONTH(EDATE(TODAY(),0+1)),YEAR(D36)=YEAR(EDATE(TODAY(),0+1)))</formula>
    </cfRule>
    <cfRule type="timePeriod" dxfId="1" priority="2" timePeriod="lastWeek">
      <formula>AND(TODAY()-ROUNDDOWN(D36,0)&gt;=(WEEKDAY(TODAY())),TODAY()-ROUNDDOWN(D36,0)&lt;(WEEKDAY(TODAY())+7))</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65</v>
      </c>
      <c r="C9" s="2" t="s">
        <v>24</v>
      </c>
      <c r="D9" s="16" t="s">
        <v>21</v>
      </c>
      <c r="G9" t="s">
        <v>67</v>
      </c>
    </row>
    <row r="10" spans="1:7" x14ac:dyDescent="0.25">
      <c r="B10" s="1" t="s">
        <v>18</v>
      </c>
      <c r="C10" s="1" t="s">
        <v>23</v>
      </c>
    </row>
    <row r="11" spans="1:7" x14ac:dyDescent="0.25">
      <c r="B11" s="1" t="s">
        <v>19</v>
      </c>
      <c r="C11" s="7" t="s">
        <v>66</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63" t="s">
        <v>29</v>
      </c>
      <c r="G20" s="63"/>
      <c r="H20" s="63"/>
      <c r="I20" s="63"/>
      <c r="J20" s="63"/>
      <c r="K20" s="63"/>
      <c r="L20" s="63"/>
      <c r="M20" s="63"/>
      <c r="N20" s="63"/>
      <c r="O20" s="63"/>
      <c r="P20" s="63"/>
      <c r="Q20" s="63"/>
      <c r="R20" s="63"/>
      <c r="S20" s="63"/>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Excel Basics</vt:lpstr>
      <vt:lpstr>Pivot Table and Chart</vt:lpstr>
      <vt:lpstr>Conditional Formatting</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2024-01-31T06:26:56Z</dcterms:modified>
</cp:coreProperties>
</file>