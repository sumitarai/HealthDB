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3498CBD6-A967-4245-8FF1-603E337BA96C}"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hortcuts" sheetId="2" r:id="rId6"/>
  </sheets>
  <functionGroups builtInGroupCount="19"/>
  <definedNames>
    <definedName name="_xlnm._FilterDatabase" localSheetId="1" hidden="1">'Excel Basics'!$A$31:$N$72</definedName>
    <definedName name="_xlnm._FilterDatabase" localSheetId="2" hidden="1">'Pivot Table and Chart'!$A$3:$G$3</definedName>
  </definedNames>
  <calcPr calcId="191029"/>
  <pivotCaches>
    <pivotCache cacheId="3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10" l="1"/>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<sst xmlns="http://schemas.openxmlformats.org/spreadsheetml/2006/main" count="488" uniqueCount="277">
  <si>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</si>
  <si>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</si>
  <si>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</si>
  <si>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</si>
  <si>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</si>
  <si>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</si>
  <si>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</si>
  <si>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</si>
  <si>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</si>
  <si>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</si>
  <si>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</si>
  <si>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</si>
  <si>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</si>
  <si>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</si>
  <si>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</si>
  <si>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</si>
  <si>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</si>
  <si>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</si>
  <si>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</si>
  <si>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</si>
  <si>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</si>
  <si>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</si>
  <si>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</si>
  <si>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</si>
  <si>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</si>
  <si>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</si>
  <si>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</si>
  <si>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</si>
  <si>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</si>
  <si>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</si>
  <si>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</si>
  <si>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</si>
  <si>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</si>
  <si>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</si>
  <si>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</si>
  <si>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</si>
  <si>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</si>
  <si>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</si>
  <si>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</si>
  <si>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</si>
  <si>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</si>
  <si>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</si>
  <si>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</si>
  <si>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</si>
  <si>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</si>
  <si>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</si>
  <si>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</si>
  <si>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</si>
  <si>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</si>
  <si>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</si>
  <si>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</si>
  <si>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</si>
  <si>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</si>
  <si>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</si>
  <si>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</si>
  <si>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</si>
  <si>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</si>
  <si>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</si>
  <si>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</si>
  <si>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</si>
  <si>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</si>
  <si>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</si>
  <si>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</si>
  <si>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</si>
  <si>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</si>
  <si>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</si>
  <si>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</si>
  <si>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</si>
  <si>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</si>
  <si>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</si>
  <si>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</si>
  <si>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</si>
  <si>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</si>
  <si>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</si>
  <si>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</si>
  <si>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</si>
  <si>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</si>
  <si>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</si>
  <si>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</si>
  <si>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</si>
  <si>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</si>
  <si>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</si>
  <si>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</si>
  <si>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</si>
  <si>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</si>
  <si>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</si>
  <si>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</si>
  <si>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</si>
  <si>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</si>
  <si>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</si>
  <si>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</si>
  <si>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</si>
  <si>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</si>
  <si>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</si>
  <si>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</si>
  <si>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</si>
  <si>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</si>
  <si>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</si>
  <si>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</si>
  <si>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</si>
  <si>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</si>
  <si>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</si>
  <si>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</si>
  <si>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</si>
  <si>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</si>
  <si>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</si>
  <si>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</si>
  <si>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</si>
  <si>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</si>
  <si>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</si>
  <si>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</si>
  <si>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</si>
  <si>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</si>
  <si>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</si>
  <si>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</si>
  <si>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</si>
  <si>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</si>
  <si>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</si>
  <si>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</si>
  <si>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</si>
  <si>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</si>
  <si>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</si>
  <si>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</si>
  <si>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</si>
  <si>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</si>
  <si>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</si>
  <si>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</si>
  <si>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</si>
  <si>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</si>
  <si>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</si>
  <si>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</si>
  <si>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</si>
  <si>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</si>
  <si>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</si>
  <si>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</si>
  <si>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</si>
  <si>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</si>
  <si>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</si>
  <si>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</si>
  <si>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</si>
  <si>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</si>
  <si>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</si>
  <si>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</si>
  <si>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</si>
  <si>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</si>
  <si>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</si>
  <si>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</si>
  <si>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</si>
  <si>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</si>
  <si>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</si>
  <si>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</si>
  <si>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</si>
  <si>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</si>
  <si>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</si>
  <si>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</si>
  <si>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</si>
  <si>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</si>
  <si>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</si>
  <si>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</si>
  <si>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</si>
  <si>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</si>
  <si>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</si>
  <si>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</si>
  <si>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</si>
  <si>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</si>
  <si>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</si>
  <si>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</si>
  <si>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</si>
  <si>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</si>
  <si>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</si>
  <si>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</si>
  <si>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</si>
  <si>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</si>
  <si>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</si>
  <si>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</si>
  <si>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</si>
  <si>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</si>
  <si>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</si>
  <si>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</si>
  <si>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</si>
  <si>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</si>
  <si>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</si>
  <si>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</si>
  <si>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</si>
  <si>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</si>
  <si>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</si>
  <si>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</si>
  <si>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</si>
  <si>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</si>
  <si>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</si>
  <si>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</si>
  <si>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</si>
  <si>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</si>
  <si>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</si>
  <si>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</si>
  <si>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</si>
  <si>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</si>
  <si>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</si>
  <si>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</si>
  <si>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</si>
  <si>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</si>
  <si>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</si>
  <si>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</si>
  <si>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</si>
  <si>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</si>
  <si>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</si>
  <si>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</si>
  <si>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</si>
  <si>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</si>
  <si>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</si>
  <si>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</si>
  <si>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</si>
  <si>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</si>
  <si>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</si>
  <si>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</si>
  <si>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</si>
  <si>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</si>
  <si>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</si>
  <si>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</si>
  <si>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</si>
  <si>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</si>
  <si>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</si>
  <si>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</si>
  <si>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</si>
  <si>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</si>
  <si>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</si>
  <si>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</si>
  <si>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</si>
  <si>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</si>
  <si>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</si>
  <si>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</si>
  <si>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</si>
  <si>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</si>
  <si>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</si>
  <si>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</si>
  <si>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</si>
  <si>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</si>
  <si>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</si>
  <si>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</si>
  <si>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</si>
  <si>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</si>
  <si>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</si>
  <si>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</si>
  <si>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</si>
  <si>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</si>
  <si>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</si>
  <si>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</si>
  <si>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</si>
  <si>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</si>
  <si>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</si>
  <si>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</si>
  <si>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</si>
  <si>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</si>
  <si>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</si>
  <si>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</si>
  <si>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</si>
  <si>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</si>
  <si>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</si>
  <si>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</si>
  <si>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</si>
  <si>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</si>
  <si>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</si>
  <si>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r>
      <t>AVERAGE function is a premade function in Excel, which calculates the average (arithmetic mean).</t>
    </r>
    <r>
      <rPr>
        <b/>
        <sz val="11"/>
        <color theme="1"/>
        <rFont val="Calibri"/>
        <family val="2"/>
        <scheme val="minor"/>
      </rPr>
      <t xml:space="preserve"> It adds the range and divides it by the number of observations.</t>
    </r>
    <r>
      <rPr>
        <sz val="11"/>
        <color theme="1"/>
        <rFont val="Calibri"/>
        <family val="2"/>
        <scheme val="minor"/>
      </rPr>
      <t xml:space="preserve"> Example: sum of the observations (2 + 3 + 4 = 9)/3 = 3
The function ignores cells with text and completes the calculation with numbers only</t>
    </r>
  </si>
  <si>
    <t xml:space="preserve">    Trainer</t>
  </si>
  <si>
    <t>Great Ball</t>
  </si>
  <si>
    <t>Ultraball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</si>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</sst>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s>
  <cellStyleXfs count="2">
    <xf numFmtId="0" fontId="0" fillId="0" borderId="0"/>
    <xf numFmtId="44" fontId="11" fillId="0" borderId="0" applyFont="0" applyFill="0" applyBorder="0" applyAlignment="0" applyProtection="0"/>
  </cellStyleXfs>
  <cellXfs count="206">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0" fillId="0" borderId="1" xfId="0"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4"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0" fillId="0" borderId="0" xfId="0" applyAlignment="1">
      <alignment horizontal="left" vertical="center"/>
    </xf>
    <xf numFmtId="0" fontId="1" fillId="0" borderId="0" xfId="0" applyFont="1" applyAlignment="1">
      <alignment horizontal="left" vertical="center"/>
    </xf>
    <xf numFmtId="0" fontId="0" fillId="0" borderId="0" xfId="0" applyAlignment="1">
      <alignment horizontal="center"/>
    </xf>
    <xf numFmtId="0" fontId="12" fillId="0" borderId="0" xfId="0" applyFont="1" applyAlignment="1">
      <alignment horizontal="left" vertical="center"/>
    </xf>
    <xf numFmtId="0" fontId="0" fillId="0" borderId="0" xfId="0" applyAlignment="1">
      <alignment horizontal="left" vertical="center" wrapText="1"/>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0" fillId="3" borderId="0" xfId="0" applyFill="1" applyAlignment="1">
      <alignment horizontal="left" vertical="center"/>
    </xf>
    <xf numFmtId="0" fontId="4" fillId="0" borderId="0" xfId="0" applyFont="1" applyAlignment="1">
      <alignment horizontal="center"/>
    </xf>
    <xf numFmtId="0" fontId="0" fillId="6" borderId="20" xfId="0" applyFill="1" applyBorder="1"/>
    <xf numFmtId="0" fontId="0" fillId="6" borderId="21" xfId="0" applyFill="1" applyBorder="1"/>
    <xf numFmtId="0" fontId="0" fillId="6" borderId="47" xfId="0" applyFill="1" applyBorder="1"/>
    <xf numFmtId="0" fontId="1" fillId="0" borderId="45" xfId="0" applyFont="1" applyBorder="1" applyAlignment="1">
      <alignment horizontal="left" vertical="center"/>
    </xf>
    <xf numFmtId="0" fontId="1" fillId="0" borderId="2" xfId="0" applyFont="1" applyBorder="1" applyAlignment="1">
      <alignment horizontal="center" vertical="center"/>
    </xf>
    <xf numFmtId="0" fontId="1" fillId="6" borderId="52" xfId="0" quotePrefix="1" applyFont="1" applyFill="1" applyBorder="1" applyAlignment="1">
      <alignment horizontal="center" vertical="center"/>
    </xf>
    <xf numFmtId="0" fontId="1" fillId="0" borderId="51" xfId="0" applyFont="1" applyBorder="1" applyAlignment="1">
      <alignment horizontal="left"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1" fillId="0" borderId="51" xfId="0" quotePrefix="1" applyFont="1" applyBorder="1"/>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7" borderId="59" xfId="0" applyFill="1" applyBorder="1" applyAlignment="1">
      <alignment horizontal="center" vertic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FFCC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45</xdr:row>
      <xdr:rowOff>182216</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117" t="s">
        <v>0</v>
      </c>
      <c r="C2" s="117"/>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N72"/>
  <sheetViews>
    <sheetView tabSelected="1" topLeftCell="A39" zoomScale="115" zoomScaleNormal="115" workbookViewId="0">
      <selection activeCell="B54" sqref="B54:N54"/>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118" t="s">
        <v>84</v>
      </c>
      <c r="B1" s="119"/>
      <c r="C1" s="120"/>
    </row>
    <row r="2" spans="1:14" ht="17.25" customHeight="1" x14ac:dyDescent="0.25">
      <c r="A2" s="24">
        <v>1</v>
      </c>
      <c r="B2" s="121" t="s">
        <v>71</v>
      </c>
      <c r="C2" s="122"/>
      <c r="D2" s="122"/>
      <c r="E2" s="122"/>
      <c r="F2" s="122"/>
      <c r="G2" s="122"/>
      <c r="H2" s="122"/>
      <c r="I2" s="122"/>
      <c r="J2" s="122"/>
      <c r="K2" s="122"/>
      <c r="L2" s="122"/>
      <c r="M2" s="122"/>
      <c r="N2" s="123"/>
    </row>
    <row r="3" spans="1:14" ht="15" x14ac:dyDescent="0.25">
      <c r="A3" s="25">
        <v>2</v>
      </c>
      <c r="B3" s="124" t="s">
        <v>68</v>
      </c>
      <c r="C3" s="125"/>
      <c r="D3" s="125"/>
      <c r="E3" s="125"/>
      <c r="F3" s="125"/>
      <c r="G3" s="125"/>
      <c r="H3" s="125"/>
      <c r="I3" s="125"/>
      <c r="J3" s="125"/>
      <c r="K3" s="125"/>
      <c r="L3" s="125"/>
      <c r="M3" s="125"/>
      <c r="N3" s="126"/>
    </row>
    <row r="4" spans="1:14" ht="15" x14ac:dyDescent="0.25">
      <c r="A4" s="25">
        <v>3</v>
      </c>
      <c r="B4" s="124" t="s">
        <v>69</v>
      </c>
      <c r="C4" s="125"/>
      <c r="D4" s="125"/>
      <c r="E4" s="125"/>
      <c r="F4" s="125"/>
      <c r="G4" s="125"/>
      <c r="H4" s="125"/>
      <c r="I4" s="125"/>
      <c r="J4" s="125"/>
      <c r="K4" s="125"/>
      <c r="L4" s="125"/>
      <c r="M4" s="125"/>
      <c r="N4" s="126"/>
    </row>
    <row r="5" spans="1:14" ht="21" customHeight="1" x14ac:dyDescent="0.25">
      <c r="A5" s="25">
        <v>4</v>
      </c>
      <c r="B5" s="127" t="s">
        <v>67</v>
      </c>
      <c r="C5" s="128"/>
      <c r="D5" s="128"/>
      <c r="E5" s="128"/>
      <c r="F5" s="128"/>
      <c r="G5" s="128"/>
      <c r="H5" s="128"/>
      <c r="I5" s="128"/>
      <c r="J5" s="128"/>
      <c r="K5" s="128"/>
      <c r="L5" s="128"/>
      <c r="M5" s="128"/>
      <c r="N5" s="129"/>
    </row>
    <row r="6" spans="1:14" ht="21" customHeight="1" x14ac:dyDescent="0.25">
      <c r="A6" s="25"/>
      <c r="B6" s="124"/>
      <c r="C6" s="125"/>
      <c r="D6" s="125"/>
      <c r="E6" s="125"/>
      <c r="F6" s="125"/>
      <c r="G6" s="125"/>
      <c r="H6" s="125"/>
      <c r="I6" s="125"/>
      <c r="J6" s="125"/>
      <c r="K6" s="125"/>
      <c r="L6" s="125"/>
      <c r="M6" s="125"/>
      <c r="N6" s="126"/>
    </row>
    <row r="7" spans="1:14" ht="20.25" customHeight="1" thickBot="1" x14ac:dyDescent="0.3">
      <c r="A7" s="25">
        <v>5</v>
      </c>
      <c r="B7" s="130" t="s">
        <v>70</v>
      </c>
      <c r="C7" s="145"/>
      <c r="D7" s="146"/>
      <c r="E7" s="145"/>
      <c r="F7" s="145"/>
      <c r="G7" s="145"/>
      <c r="H7" s="145"/>
      <c r="I7" s="145"/>
      <c r="J7" s="145"/>
      <c r="K7" s="145"/>
      <c r="L7" s="145"/>
      <c r="M7" s="145"/>
      <c r="N7" s="147"/>
    </row>
    <row r="8" spans="1:14" ht="17.25" customHeight="1" thickBot="1" x14ac:dyDescent="0.3">
      <c r="A8" s="25">
        <v>6</v>
      </c>
      <c r="B8" s="19" t="s">
        <v>90</v>
      </c>
      <c r="C8" s="21" t="s">
        <v>72</v>
      </c>
      <c r="D8" s="23">
        <f>1+1</f>
        <v>2</v>
      </c>
      <c r="E8" s="135" t="s">
        <v>73</v>
      </c>
      <c r="F8" s="151"/>
      <c r="G8" s="135"/>
      <c r="H8" s="135"/>
      <c r="I8" s="135"/>
      <c r="J8" s="135"/>
      <c r="K8" s="135"/>
      <c r="L8" s="135"/>
      <c r="M8" s="135"/>
      <c r="N8" s="136"/>
    </row>
    <row r="9" spans="1:14" ht="17.25" customHeight="1" thickBot="1" x14ac:dyDescent="0.3">
      <c r="A9" s="25">
        <v>7</v>
      </c>
      <c r="B9" s="17" t="s">
        <v>91</v>
      </c>
      <c r="C9" s="18" t="s">
        <v>74</v>
      </c>
      <c r="D9" s="22">
        <v>100</v>
      </c>
      <c r="E9" s="20">
        <v>25</v>
      </c>
      <c r="F9" s="23">
        <f>D9-E9</f>
        <v>75</v>
      </c>
      <c r="G9" s="135" t="s">
        <v>75</v>
      </c>
      <c r="H9" s="135"/>
      <c r="I9" s="135"/>
      <c r="J9" s="135"/>
      <c r="K9" s="135"/>
      <c r="L9" s="135"/>
      <c r="M9" s="135"/>
      <c r="N9" s="136"/>
    </row>
    <row r="10" spans="1:14" ht="17.25" customHeight="1" x14ac:dyDescent="0.25">
      <c r="A10" s="25">
        <v>8</v>
      </c>
      <c r="B10" s="127" t="s">
        <v>76</v>
      </c>
      <c r="C10" s="128"/>
      <c r="D10" s="128"/>
      <c r="E10" s="128"/>
      <c r="F10" s="144"/>
      <c r="G10" s="128"/>
      <c r="H10" s="128"/>
      <c r="I10" s="128"/>
      <c r="J10" s="128"/>
      <c r="K10" s="128"/>
      <c r="L10" s="128"/>
      <c r="M10" s="128"/>
      <c r="N10" s="129"/>
    </row>
    <row r="11" spans="1:14" ht="27.75" customHeight="1" x14ac:dyDescent="0.25">
      <c r="A11" s="25"/>
      <c r="B11" s="138" t="s">
        <v>87</v>
      </c>
      <c r="C11" s="139"/>
      <c r="D11" s="139"/>
      <c r="E11" s="139"/>
      <c r="F11" s="139"/>
      <c r="G11" s="139"/>
      <c r="H11" s="139"/>
      <c r="I11" s="139"/>
      <c r="J11" s="139"/>
      <c r="K11" s="139"/>
      <c r="L11" s="139"/>
      <c r="M11" s="139"/>
      <c r="N11" s="140"/>
    </row>
    <row r="12" spans="1:14" ht="17.25" customHeight="1" x14ac:dyDescent="0.25">
      <c r="A12" s="25"/>
      <c r="B12" s="124"/>
      <c r="C12" s="125"/>
      <c r="D12" s="125"/>
      <c r="E12" s="125"/>
      <c r="F12" s="125"/>
      <c r="G12" s="125"/>
      <c r="H12" s="125"/>
      <c r="I12" s="125"/>
      <c r="J12" s="125"/>
      <c r="K12" s="125"/>
      <c r="L12" s="125"/>
      <c r="M12" s="125"/>
      <c r="N12" s="126"/>
    </row>
    <row r="13" spans="1:14" ht="17.25" customHeight="1" x14ac:dyDescent="0.25">
      <c r="A13" s="25">
        <v>9</v>
      </c>
      <c r="B13" s="124" t="s">
        <v>77</v>
      </c>
      <c r="C13" s="125"/>
      <c r="D13" s="125"/>
      <c r="E13" s="125"/>
      <c r="F13" s="125"/>
      <c r="G13" s="125"/>
      <c r="H13" s="125"/>
      <c r="I13" s="125"/>
      <c r="J13" s="125"/>
      <c r="K13" s="125"/>
      <c r="L13" s="125"/>
      <c r="M13" s="125"/>
      <c r="N13" s="126"/>
    </row>
    <row r="14" spans="1:14" ht="17.25" customHeight="1" x14ac:dyDescent="0.25">
      <c r="A14" s="25">
        <v>10</v>
      </c>
      <c r="B14" s="124" t="s">
        <v>78</v>
      </c>
      <c r="C14" s="125"/>
      <c r="D14" s="125"/>
      <c r="E14" s="125"/>
      <c r="F14" s="125"/>
      <c r="G14" s="125"/>
      <c r="H14" s="125"/>
      <c r="I14" s="125"/>
      <c r="J14" s="125"/>
      <c r="K14" s="125"/>
      <c r="L14" s="125"/>
      <c r="M14" s="125"/>
      <c r="N14" s="126"/>
    </row>
    <row r="15" spans="1:14" ht="17.25" customHeight="1" x14ac:dyDescent="0.25">
      <c r="A15" s="25">
        <v>11</v>
      </c>
      <c r="B15" s="124" t="s">
        <v>79</v>
      </c>
      <c r="C15" s="125"/>
      <c r="D15" s="125"/>
      <c r="E15" s="125"/>
      <c r="F15" s="125"/>
      <c r="G15" s="125"/>
      <c r="H15" s="125"/>
      <c r="I15" s="125"/>
      <c r="J15" s="125"/>
      <c r="K15" s="125"/>
      <c r="L15" s="125"/>
      <c r="M15" s="125"/>
      <c r="N15" s="126"/>
    </row>
    <row r="16" spans="1:14" ht="47.25" customHeight="1" x14ac:dyDescent="0.25">
      <c r="A16" s="25">
        <v>12</v>
      </c>
      <c r="B16" s="124" t="s">
        <v>83</v>
      </c>
      <c r="C16" s="125"/>
      <c r="D16" s="125"/>
      <c r="E16" s="125"/>
      <c r="F16" s="125"/>
      <c r="G16" s="125"/>
      <c r="H16" s="125"/>
      <c r="I16" s="125"/>
      <c r="J16" s="125"/>
      <c r="K16" s="125"/>
      <c r="L16" s="125"/>
      <c r="M16" s="125"/>
      <c r="N16" s="126"/>
    </row>
    <row r="17" spans="1:14" ht="18" customHeight="1" x14ac:dyDescent="0.25">
      <c r="A17" s="25"/>
      <c r="B17" s="131"/>
      <c r="C17" s="132"/>
      <c r="D17" s="132"/>
      <c r="E17" s="132"/>
      <c r="F17" s="132"/>
      <c r="G17" s="132"/>
      <c r="H17" s="132"/>
      <c r="I17" s="132"/>
      <c r="J17" s="132"/>
      <c r="K17" s="132"/>
      <c r="L17" s="132"/>
      <c r="M17" s="132"/>
      <c r="N17" s="133"/>
    </row>
    <row r="18" spans="1:14" ht="17.25" customHeight="1" x14ac:dyDescent="0.25">
      <c r="A18" s="25">
        <v>13</v>
      </c>
      <c r="B18" s="141" t="s">
        <v>81</v>
      </c>
      <c r="C18" s="142"/>
      <c r="D18" s="142"/>
      <c r="E18" s="142"/>
      <c r="F18" s="142"/>
      <c r="G18" s="142"/>
      <c r="H18" s="142"/>
      <c r="I18" s="142"/>
      <c r="J18" s="142"/>
      <c r="K18" s="142"/>
      <c r="L18" s="142"/>
      <c r="M18" s="142"/>
      <c r="N18" s="143"/>
    </row>
    <row r="19" spans="1:14" ht="20.25" customHeight="1" x14ac:dyDescent="0.25">
      <c r="A19" s="25">
        <v>14</v>
      </c>
      <c r="B19" s="127" t="s">
        <v>80</v>
      </c>
      <c r="C19" s="128"/>
      <c r="D19" s="128"/>
      <c r="E19" s="128"/>
      <c r="F19" s="128"/>
      <c r="G19" s="128"/>
      <c r="H19" s="128"/>
      <c r="I19" s="128"/>
      <c r="J19" s="128"/>
      <c r="K19" s="128"/>
      <c r="L19" s="128"/>
      <c r="M19" s="128"/>
      <c r="N19" s="129"/>
    </row>
    <row r="20" spans="1:14" ht="17.25" customHeight="1" x14ac:dyDescent="0.25">
      <c r="A20" s="25">
        <v>15</v>
      </c>
      <c r="B20" s="124" t="s">
        <v>82</v>
      </c>
      <c r="C20" s="125"/>
      <c r="D20" s="125"/>
      <c r="E20" s="125"/>
      <c r="F20" s="125"/>
      <c r="G20" s="125"/>
      <c r="H20" s="125"/>
      <c r="I20" s="125"/>
      <c r="J20" s="125"/>
      <c r="K20" s="125"/>
      <c r="L20" s="125"/>
      <c r="M20" s="125"/>
      <c r="N20" s="126"/>
    </row>
    <row r="21" spans="1:14" ht="17.25" customHeight="1" x14ac:dyDescent="0.25">
      <c r="A21" s="25">
        <v>16</v>
      </c>
      <c r="B21" s="124" t="s">
        <v>85</v>
      </c>
      <c r="C21" s="125"/>
      <c r="D21" s="125"/>
      <c r="E21" s="125"/>
      <c r="F21" s="125"/>
      <c r="G21" s="125"/>
      <c r="H21" s="125"/>
      <c r="I21" s="125"/>
      <c r="J21" s="125"/>
      <c r="K21" s="125"/>
      <c r="L21" s="125"/>
      <c r="M21" s="125"/>
      <c r="N21" s="126"/>
    </row>
    <row r="22" spans="1:14" ht="17.25" customHeight="1" x14ac:dyDescent="0.25">
      <c r="A22" s="25">
        <v>17</v>
      </c>
      <c r="B22" s="124" t="s">
        <v>86</v>
      </c>
      <c r="C22" s="125"/>
      <c r="D22" s="125"/>
      <c r="E22" s="125"/>
      <c r="F22" s="125"/>
      <c r="G22" s="125"/>
      <c r="H22" s="125"/>
      <c r="I22" s="125"/>
      <c r="J22" s="125"/>
      <c r="K22" s="125"/>
      <c r="L22" s="125"/>
      <c r="M22" s="125"/>
      <c r="N22" s="126"/>
    </row>
    <row r="23" spans="1:14" ht="17.25" customHeight="1" x14ac:dyDescent="0.25">
      <c r="A23" s="25"/>
      <c r="B23" s="131"/>
      <c r="C23" s="132"/>
      <c r="D23" s="132"/>
      <c r="E23" s="132"/>
      <c r="F23" s="132"/>
      <c r="G23" s="132"/>
      <c r="H23" s="132"/>
      <c r="I23" s="132"/>
      <c r="J23" s="132"/>
      <c r="K23" s="132"/>
      <c r="L23" s="132"/>
      <c r="M23" s="132"/>
      <c r="N23" s="133"/>
    </row>
    <row r="24" spans="1:14" ht="17.25" customHeight="1" x14ac:dyDescent="0.25">
      <c r="A24" s="25">
        <v>18</v>
      </c>
      <c r="B24" s="124" t="s">
        <v>88</v>
      </c>
      <c r="C24" s="125"/>
      <c r="D24" s="125"/>
      <c r="E24" s="125"/>
      <c r="F24" s="125"/>
      <c r="G24" s="125"/>
      <c r="H24" s="125"/>
      <c r="I24" s="125"/>
      <c r="J24" s="125"/>
      <c r="K24" s="125"/>
      <c r="L24" s="125"/>
      <c r="M24" s="125"/>
      <c r="N24" s="126"/>
    </row>
    <row r="25" spans="1:14" ht="28.5" customHeight="1" x14ac:dyDescent="0.25">
      <c r="A25" s="25">
        <v>19</v>
      </c>
      <c r="B25" s="124" t="s">
        <v>94</v>
      </c>
      <c r="C25" s="125"/>
      <c r="D25" s="125"/>
      <c r="E25" s="125"/>
      <c r="F25" s="125"/>
      <c r="G25" s="125"/>
      <c r="H25" s="125"/>
      <c r="I25" s="125"/>
      <c r="J25" s="125"/>
      <c r="K25" s="125"/>
      <c r="L25" s="125"/>
      <c r="M25" s="125"/>
      <c r="N25" s="126"/>
    </row>
    <row r="26" spans="1:14" ht="63.75" customHeight="1" x14ac:dyDescent="0.25">
      <c r="A26" s="25">
        <v>20</v>
      </c>
      <c r="B26" s="124" t="s">
        <v>89</v>
      </c>
      <c r="C26" s="125"/>
      <c r="D26" s="125"/>
      <c r="E26" s="125"/>
      <c r="F26" s="125"/>
      <c r="G26" s="125"/>
      <c r="H26" s="125"/>
      <c r="I26" s="125"/>
      <c r="J26" s="125"/>
      <c r="K26" s="125"/>
      <c r="L26" s="125"/>
      <c r="M26" s="125"/>
      <c r="N26" s="126"/>
    </row>
    <row r="27" spans="1:14" ht="15.75" customHeight="1" x14ac:dyDescent="0.25">
      <c r="A27" s="25"/>
      <c r="B27" s="131"/>
      <c r="C27" s="132"/>
      <c r="D27" s="132"/>
      <c r="E27" s="132"/>
      <c r="F27" s="132"/>
      <c r="G27" s="132"/>
      <c r="H27" s="132"/>
      <c r="I27" s="132"/>
      <c r="J27" s="132"/>
      <c r="K27" s="132"/>
      <c r="L27" s="132"/>
      <c r="M27" s="132"/>
      <c r="N27" s="133"/>
    </row>
    <row r="28" spans="1:14" ht="17.25" customHeight="1" x14ac:dyDescent="0.25">
      <c r="A28" s="26">
        <v>21</v>
      </c>
      <c r="B28" s="124" t="s">
        <v>93</v>
      </c>
      <c r="C28" s="125"/>
      <c r="D28" s="125"/>
      <c r="E28" s="125"/>
      <c r="F28" s="125"/>
      <c r="G28" s="125"/>
      <c r="H28" s="125"/>
      <c r="I28" s="125"/>
      <c r="J28" s="125"/>
      <c r="K28" s="125"/>
      <c r="L28" s="125"/>
      <c r="M28" s="125"/>
      <c r="N28" s="126"/>
    </row>
    <row r="29" spans="1:14" ht="27.75" customHeight="1" x14ac:dyDescent="0.25">
      <c r="A29" s="25">
        <v>22</v>
      </c>
      <c r="B29" s="124" t="s">
        <v>92</v>
      </c>
      <c r="C29" s="125"/>
      <c r="D29" s="125"/>
      <c r="E29" s="125"/>
      <c r="F29" s="125"/>
      <c r="G29" s="125"/>
      <c r="H29" s="125"/>
      <c r="I29" s="125"/>
      <c r="J29" s="125"/>
      <c r="K29" s="125"/>
      <c r="L29" s="125"/>
      <c r="M29" s="125"/>
      <c r="N29" s="126"/>
    </row>
    <row r="30" spans="1:14" ht="15.75" customHeight="1" x14ac:dyDescent="0.25">
      <c r="A30" s="25"/>
      <c r="B30" s="131"/>
      <c r="C30" s="132"/>
      <c r="D30" s="132"/>
      <c r="E30" s="132"/>
      <c r="F30" s="132"/>
      <c r="G30" s="132"/>
      <c r="H30" s="132"/>
      <c r="I30" s="132"/>
      <c r="J30" s="132"/>
      <c r="K30" s="132"/>
      <c r="L30" s="132"/>
      <c r="M30" s="132"/>
      <c r="N30" s="133"/>
    </row>
    <row r="31" spans="1:14" ht="28.5" customHeight="1" x14ac:dyDescent="0.25">
      <c r="A31" s="25">
        <v>23</v>
      </c>
      <c r="B31" s="124" t="s">
        <v>96</v>
      </c>
      <c r="C31" s="125"/>
      <c r="D31" s="125"/>
      <c r="E31" s="125"/>
      <c r="F31" s="125"/>
      <c r="G31" s="125"/>
      <c r="H31" s="125"/>
      <c r="I31" s="125"/>
      <c r="J31" s="125"/>
      <c r="K31" s="125"/>
      <c r="L31" s="125"/>
      <c r="M31" s="125"/>
      <c r="N31" s="126"/>
    </row>
    <row r="32" spans="1:14" ht="17.25" customHeight="1" x14ac:dyDescent="0.25">
      <c r="A32" s="25">
        <v>24</v>
      </c>
      <c r="B32" s="124" t="s">
        <v>97</v>
      </c>
      <c r="C32" s="125"/>
      <c r="D32" s="125"/>
      <c r="E32" s="125"/>
      <c r="F32" s="125"/>
      <c r="G32" s="125"/>
      <c r="H32" s="125"/>
      <c r="I32" s="125"/>
      <c r="J32" s="125"/>
      <c r="K32" s="125"/>
      <c r="L32" s="125"/>
      <c r="M32" s="125"/>
      <c r="N32" s="126"/>
    </row>
    <row r="33" spans="1:14" ht="17.25" customHeight="1" x14ac:dyDescent="0.25">
      <c r="A33" s="25"/>
      <c r="B33" s="131"/>
      <c r="C33" s="132"/>
      <c r="D33" s="132"/>
      <c r="E33" s="132"/>
      <c r="F33" s="132"/>
      <c r="G33" s="132"/>
      <c r="H33" s="132"/>
      <c r="I33" s="132"/>
      <c r="J33" s="132"/>
      <c r="K33" s="132"/>
      <c r="L33" s="132"/>
      <c r="M33" s="132"/>
      <c r="N33" s="133"/>
    </row>
    <row r="34" spans="1:14" ht="17.25" customHeight="1" x14ac:dyDescent="0.25">
      <c r="A34" s="25">
        <v>25</v>
      </c>
      <c r="B34" s="130" t="s">
        <v>98</v>
      </c>
      <c r="C34" s="125"/>
      <c r="D34" s="125"/>
      <c r="E34" s="125"/>
      <c r="F34" s="125"/>
      <c r="G34" s="125"/>
      <c r="H34" s="125"/>
      <c r="I34" s="125"/>
      <c r="J34" s="125"/>
      <c r="K34" s="125"/>
      <c r="L34" s="125"/>
      <c r="M34" s="125"/>
      <c r="N34" s="126"/>
    </row>
    <row r="35" spans="1:14" ht="17.25" customHeight="1" x14ac:dyDescent="0.25">
      <c r="A35" s="25">
        <v>26</v>
      </c>
      <c r="B35" s="124" t="s">
        <v>99</v>
      </c>
      <c r="C35" s="125"/>
      <c r="D35" s="125"/>
      <c r="E35" s="125"/>
      <c r="F35" s="125"/>
      <c r="G35" s="125"/>
      <c r="H35" s="125"/>
      <c r="I35" s="125"/>
      <c r="J35" s="125"/>
      <c r="K35" s="125"/>
      <c r="L35" s="125"/>
      <c r="M35" s="125"/>
      <c r="N35" s="126"/>
    </row>
    <row r="36" spans="1:14" ht="45.75" customHeight="1" x14ac:dyDescent="0.25">
      <c r="A36" s="25">
        <v>27</v>
      </c>
      <c r="B36" s="124" t="s">
        <v>100</v>
      </c>
      <c r="C36" s="125"/>
      <c r="D36" s="125"/>
      <c r="E36" s="125"/>
      <c r="F36" s="125"/>
      <c r="G36" s="125"/>
      <c r="H36" s="125"/>
      <c r="I36" s="125"/>
      <c r="J36" s="125"/>
      <c r="K36" s="125"/>
      <c r="L36" s="125"/>
      <c r="M36" s="125"/>
      <c r="N36" s="126"/>
    </row>
    <row r="37" spans="1:14" ht="17.25" customHeight="1" x14ac:dyDescent="0.25">
      <c r="A37" s="25">
        <v>28</v>
      </c>
      <c r="B37" s="124" t="s">
        <v>101</v>
      </c>
      <c r="C37" s="125"/>
      <c r="D37" s="125"/>
      <c r="E37" s="125"/>
      <c r="F37" s="125"/>
      <c r="G37" s="125"/>
      <c r="H37" s="125"/>
      <c r="I37" s="125"/>
      <c r="J37" s="125"/>
      <c r="K37" s="125"/>
      <c r="L37" s="125"/>
      <c r="M37" s="125"/>
      <c r="N37" s="126"/>
    </row>
    <row r="38" spans="1:14" ht="42.75" customHeight="1" x14ac:dyDescent="0.25">
      <c r="A38" s="25">
        <v>29</v>
      </c>
      <c r="B38" s="127" t="s">
        <v>102</v>
      </c>
      <c r="C38" s="128"/>
      <c r="D38" s="128"/>
      <c r="E38" s="128"/>
      <c r="F38" s="128"/>
      <c r="G38" s="128"/>
      <c r="H38" s="128"/>
      <c r="I38" s="128"/>
      <c r="J38" s="128"/>
      <c r="K38" s="128"/>
      <c r="L38" s="128"/>
      <c r="M38" s="128"/>
      <c r="N38" s="129"/>
    </row>
    <row r="39" spans="1:14" ht="78" customHeight="1" x14ac:dyDescent="0.25">
      <c r="A39" s="25">
        <v>30</v>
      </c>
      <c r="B39" s="124" t="s">
        <v>103</v>
      </c>
      <c r="C39" s="125"/>
      <c r="D39" s="125"/>
      <c r="E39" s="125"/>
      <c r="F39" s="125"/>
      <c r="G39" s="125"/>
      <c r="H39" s="125"/>
      <c r="I39" s="125"/>
      <c r="J39" s="125"/>
      <c r="K39" s="125"/>
      <c r="L39" s="125"/>
      <c r="M39" s="125"/>
      <c r="N39" s="126"/>
    </row>
    <row r="40" spans="1:14" ht="14.25" customHeight="1" x14ac:dyDescent="0.25">
      <c r="A40" s="25"/>
      <c r="B40" s="131"/>
      <c r="C40" s="132"/>
      <c r="D40" s="132"/>
      <c r="E40" s="132"/>
      <c r="F40" s="132"/>
      <c r="G40" s="132"/>
      <c r="H40" s="132"/>
      <c r="I40" s="132"/>
      <c r="J40" s="132"/>
      <c r="K40" s="132"/>
      <c r="L40" s="132"/>
      <c r="M40" s="132"/>
      <c r="N40" s="133"/>
    </row>
    <row r="41" spans="1:14" ht="29.25" customHeight="1" x14ac:dyDescent="0.25">
      <c r="A41" s="25">
        <v>31</v>
      </c>
      <c r="B41" s="134" t="s">
        <v>114</v>
      </c>
      <c r="C41" s="135"/>
      <c r="D41" s="135"/>
      <c r="E41" s="135"/>
      <c r="F41" s="135"/>
      <c r="G41" s="135"/>
      <c r="H41" s="135"/>
      <c r="I41" s="135"/>
      <c r="J41" s="135"/>
      <c r="K41" s="135"/>
      <c r="L41" s="135"/>
      <c r="M41" s="135"/>
      <c r="N41" s="136"/>
    </row>
    <row r="42" spans="1:14" ht="28.5" customHeight="1" x14ac:dyDescent="0.25">
      <c r="A42" s="25">
        <v>32</v>
      </c>
      <c r="B42" s="134" t="s">
        <v>115</v>
      </c>
      <c r="C42" s="135"/>
      <c r="D42" s="135"/>
      <c r="E42" s="135"/>
      <c r="F42" s="135"/>
      <c r="G42" s="135"/>
      <c r="H42" s="135"/>
      <c r="I42" s="135"/>
      <c r="J42" s="135"/>
      <c r="K42" s="135"/>
      <c r="L42" s="135"/>
      <c r="M42" s="135"/>
      <c r="N42" s="136"/>
    </row>
    <row r="43" spans="1:14" ht="17.25" customHeight="1" x14ac:dyDescent="0.25">
      <c r="A43" s="25">
        <v>33</v>
      </c>
      <c r="B43" s="137" t="s">
        <v>160</v>
      </c>
      <c r="C43" s="125"/>
      <c r="D43" s="125"/>
      <c r="E43" s="125"/>
      <c r="F43" s="125"/>
      <c r="G43" s="125"/>
      <c r="H43" s="125"/>
      <c r="I43" s="125"/>
      <c r="J43" s="125"/>
      <c r="K43" s="125"/>
      <c r="L43" s="125"/>
      <c r="M43" s="125"/>
      <c r="N43" s="126"/>
    </row>
    <row r="44" spans="1:14" ht="29.25" customHeight="1" x14ac:dyDescent="0.25">
      <c r="A44" s="25">
        <v>34</v>
      </c>
      <c r="B44" s="124" t="s">
        <v>193</v>
      </c>
      <c r="C44" s="125"/>
      <c r="D44" s="125"/>
      <c r="E44" s="125"/>
      <c r="F44" s="125"/>
      <c r="G44" s="125"/>
      <c r="H44" s="125"/>
      <c r="I44" s="125"/>
      <c r="J44" s="125"/>
      <c r="K44" s="125"/>
      <c r="L44" s="125"/>
      <c r="M44" s="125"/>
      <c r="N44" s="126"/>
    </row>
    <row r="45" spans="1:14" ht="17.25" customHeight="1" x14ac:dyDescent="0.25">
      <c r="A45" s="25">
        <v>35</v>
      </c>
      <c r="B45" s="124" t="s">
        <v>197</v>
      </c>
      <c r="C45" s="125"/>
      <c r="D45" s="125"/>
      <c r="E45" s="125"/>
      <c r="F45" s="125"/>
      <c r="G45" s="125"/>
      <c r="H45" s="125"/>
      <c r="I45" s="125"/>
      <c r="J45" s="125"/>
      <c r="K45" s="125"/>
      <c r="L45" s="125"/>
      <c r="M45" s="125"/>
      <c r="N45" s="126"/>
    </row>
    <row r="46" spans="1:14" ht="17.25" customHeight="1" x14ac:dyDescent="0.25">
      <c r="A46" s="25">
        <v>36</v>
      </c>
      <c r="B46" s="127" t="s">
        <v>202</v>
      </c>
      <c r="C46" s="128"/>
      <c r="D46" s="128"/>
      <c r="E46" s="128"/>
      <c r="F46" s="128"/>
      <c r="G46" s="128"/>
      <c r="H46" s="128"/>
      <c r="I46" s="128"/>
      <c r="J46" s="128"/>
      <c r="K46" s="128"/>
      <c r="L46" s="128"/>
      <c r="M46" s="128"/>
      <c r="N46" s="129"/>
    </row>
    <row r="47" spans="1:14" ht="12" customHeight="1" x14ac:dyDescent="0.25">
      <c r="A47" s="25"/>
      <c r="B47" s="124"/>
      <c r="C47" s="125"/>
      <c r="D47" s="125"/>
      <c r="E47" s="125"/>
      <c r="F47" s="125"/>
      <c r="G47" s="125"/>
      <c r="H47" s="125"/>
      <c r="I47" s="125"/>
      <c r="J47" s="125"/>
      <c r="K47" s="125"/>
      <c r="L47" s="125"/>
      <c r="M47" s="125"/>
      <c r="N47" s="126"/>
    </row>
    <row r="48" spans="1:14" ht="17.25" customHeight="1" x14ac:dyDescent="0.25">
      <c r="A48" s="25">
        <v>37</v>
      </c>
      <c r="B48" s="124" t="s">
        <v>206</v>
      </c>
      <c r="C48" s="125"/>
      <c r="D48" s="125"/>
      <c r="E48" s="125"/>
      <c r="F48" s="125"/>
      <c r="G48" s="125"/>
      <c r="H48" s="125"/>
      <c r="I48" s="125"/>
      <c r="J48" s="125"/>
      <c r="K48" s="125"/>
      <c r="L48" s="125"/>
      <c r="M48" s="125"/>
      <c r="N48" s="126"/>
    </row>
    <row r="49" spans="1:14" ht="17.25" customHeight="1" x14ac:dyDescent="0.25">
      <c r="A49" s="25">
        <v>38</v>
      </c>
      <c r="B49" s="124" t="s">
        <v>236</v>
      </c>
      <c r="C49" s="125"/>
      <c r="D49" s="125"/>
      <c r="E49" s="125"/>
      <c r="F49" s="125"/>
      <c r="G49" s="125"/>
      <c r="H49" s="125"/>
      <c r="I49" s="125"/>
      <c r="J49" s="125"/>
      <c r="K49" s="125"/>
      <c r="L49" s="125"/>
      <c r="M49" s="125"/>
      <c r="N49" s="126"/>
    </row>
    <row r="50" spans="1:14" ht="9.75" customHeight="1" x14ac:dyDescent="0.25">
      <c r="A50" s="25"/>
      <c r="B50" s="131"/>
      <c r="C50" s="132"/>
      <c r="D50" s="132"/>
      <c r="E50" s="132"/>
      <c r="F50" s="132"/>
      <c r="G50" s="132"/>
      <c r="H50" s="132"/>
      <c r="I50" s="132"/>
      <c r="J50" s="132"/>
      <c r="K50" s="132"/>
      <c r="L50" s="132"/>
      <c r="M50" s="132"/>
      <c r="N50" s="133"/>
    </row>
    <row r="51" spans="1:14" ht="17.25" customHeight="1" x14ac:dyDescent="0.25">
      <c r="A51" s="25">
        <v>39</v>
      </c>
      <c r="B51" s="124" t="s">
        <v>95</v>
      </c>
      <c r="C51" s="125"/>
      <c r="D51" s="125"/>
      <c r="E51" s="125"/>
      <c r="F51" s="125"/>
      <c r="G51" s="125"/>
      <c r="H51" s="125"/>
      <c r="I51" s="125"/>
      <c r="J51" s="125"/>
      <c r="K51" s="125"/>
      <c r="L51" s="125"/>
      <c r="M51" s="125"/>
      <c r="N51" s="126"/>
    </row>
    <row r="52" spans="1:14" ht="43.5" customHeight="1" x14ac:dyDescent="0.25">
      <c r="A52" s="25">
        <v>40</v>
      </c>
      <c r="B52" s="124" t="s">
        <v>250</v>
      </c>
      <c r="C52" s="125"/>
      <c r="D52" s="125"/>
      <c r="E52" s="125"/>
      <c r="F52" s="125"/>
      <c r="G52" s="125"/>
      <c r="H52" s="125"/>
      <c r="I52" s="125"/>
      <c r="J52" s="125"/>
      <c r="K52" s="125"/>
      <c r="L52" s="125"/>
      <c r="M52" s="125"/>
      <c r="N52" s="126"/>
    </row>
    <row r="53" spans="1:14" ht="49.5" customHeight="1" x14ac:dyDescent="0.25">
      <c r="A53" s="25">
        <v>41</v>
      </c>
      <c r="B53" s="124" t="s">
        <v>251</v>
      </c>
      <c r="C53" s="125"/>
      <c r="D53" s="125"/>
      <c r="E53" s="125"/>
      <c r="F53" s="125"/>
      <c r="G53" s="125"/>
      <c r="H53" s="125"/>
      <c r="I53" s="125"/>
      <c r="J53" s="125"/>
      <c r="K53" s="125"/>
      <c r="L53" s="125"/>
      <c r="M53" s="125"/>
      <c r="N53" s="126"/>
    </row>
    <row r="54" spans="1:14" ht="29.25" customHeight="1" x14ac:dyDescent="0.25">
      <c r="A54" s="25">
        <v>42</v>
      </c>
      <c r="B54" s="124" t="s">
        <v>262</v>
      </c>
      <c r="C54" s="125"/>
      <c r="D54" s="125"/>
      <c r="E54" s="125"/>
      <c r="F54" s="125"/>
      <c r="G54" s="125"/>
      <c r="H54" s="125"/>
      <c r="I54" s="125"/>
      <c r="J54" s="125"/>
      <c r="K54" s="125"/>
      <c r="L54" s="125"/>
      <c r="M54" s="125"/>
      <c r="N54" s="126"/>
    </row>
    <row r="55" spans="1:14" ht="17.25" customHeight="1" x14ac:dyDescent="0.25">
      <c r="A55" s="25">
        <v>43</v>
      </c>
      <c r="B55" s="124"/>
      <c r="C55" s="125"/>
      <c r="D55" s="125"/>
      <c r="E55" s="125"/>
      <c r="F55" s="125"/>
      <c r="G55" s="125"/>
      <c r="H55" s="125"/>
      <c r="I55" s="125"/>
      <c r="J55" s="125"/>
      <c r="K55" s="125"/>
      <c r="L55" s="125"/>
      <c r="M55" s="125"/>
      <c r="N55" s="126"/>
    </row>
    <row r="56" spans="1:14" ht="17.25" customHeight="1" x14ac:dyDescent="0.25">
      <c r="A56" s="25">
        <v>44</v>
      </c>
      <c r="B56" s="124"/>
      <c r="C56" s="125"/>
      <c r="D56" s="125"/>
      <c r="E56" s="125"/>
      <c r="F56" s="125"/>
      <c r="G56" s="125"/>
      <c r="H56" s="125"/>
      <c r="I56" s="125"/>
      <c r="J56" s="125"/>
      <c r="K56" s="125"/>
      <c r="L56" s="125"/>
      <c r="M56" s="125"/>
      <c r="N56" s="126"/>
    </row>
    <row r="57" spans="1:14" ht="17.25" customHeight="1" x14ac:dyDescent="0.25">
      <c r="A57" s="25">
        <v>45</v>
      </c>
      <c r="B57" s="124"/>
      <c r="C57" s="125"/>
      <c r="D57" s="125"/>
      <c r="E57" s="125"/>
      <c r="F57" s="125"/>
      <c r="G57" s="125"/>
      <c r="H57" s="125"/>
      <c r="I57" s="125"/>
      <c r="J57" s="125"/>
      <c r="K57" s="125"/>
      <c r="L57" s="125"/>
      <c r="M57" s="125"/>
      <c r="N57" s="126"/>
    </row>
    <row r="58" spans="1:14" ht="17.25" customHeight="1" x14ac:dyDescent="0.25">
      <c r="A58" s="25">
        <v>46</v>
      </c>
      <c r="B58" s="124"/>
      <c r="C58" s="125"/>
      <c r="D58" s="125"/>
      <c r="E58" s="125"/>
      <c r="F58" s="125"/>
      <c r="G58" s="125"/>
      <c r="H58" s="125"/>
      <c r="I58" s="125"/>
      <c r="J58" s="125"/>
      <c r="K58" s="125"/>
      <c r="L58" s="125"/>
      <c r="M58" s="125"/>
      <c r="N58" s="126"/>
    </row>
    <row r="59" spans="1:14" ht="17.25" customHeight="1" x14ac:dyDescent="0.25">
      <c r="A59" s="25">
        <v>47</v>
      </c>
      <c r="B59" s="124"/>
      <c r="C59" s="125"/>
      <c r="D59" s="125"/>
      <c r="E59" s="125"/>
      <c r="F59" s="125"/>
      <c r="G59" s="125"/>
      <c r="H59" s="125"/>
      <c r="I59" s="125"/>
      <c r="J59" s="125"/>
      <c r="K59" s="125"/>
      <c r="L59" s="125"/>
      <c r="M59" s="125"/>
      <c r="N59" s="126"/>
    </row>
    <row r="60" spans="1:14" ht="17.25" customHeight="1" x14ac:dyDescent="0.25">
      <c r="A60" s="25">
        <v>48</v>
      </c>
      <c r="B60" s="124"/>
      <c r="C60" s="125"/>
      <c r="D60" s="125"/>
      <c r="E60" s="125"/>
      <c r="F60" s="125"/>
      <c r="G60" s="125"/>
      <c r="H60" s="125"/>
      <c r="I60" s="125"/>
      <c r="J60" s="125"/>
      <c r="K60" s="125"/>
      <c r="L60" s="125"/>
      <c r="M60" s="125"/>
      <c r="N60" s="126"/>
    </row>
    <row r="61" spans="1:14" ht="17.25" customHeight="1" x14ac:dyDescent="0.25">
      <c r="A61" s="25">
        <v>49</v>
      </c>
      <c r="B61" s="124"/>
      <c r="C61" s="125"/>
      <c r="D61" s="125"/>
      <c r="E61" s="125"/>
      <c r="F61" s="125"/>
      <c r="G61" s="125"/>
      <c r="H61" s="125"/>
      <c r="I61" s="125"/>
      <c r="J61" s="125"/>
      <c r="K61" s="125"/>
      <c r="L61" s="125"/>
      <c r="M61" s="125"/>
      <c r="N61" s="126"/>
    </row>
    <row r="62" spans="1:14" ht="17.25" customHeight="1" x14ac:dyDescent="0.25">
      <c r="A62" s="25">
        <v>50</v>
      </c>
      <c r="B62" s="124"/>
      <c r="C62" s="125"/>
      <c r="D62" s="125"/>
      <c r="E62" s="125"/>
      <c r="F62" s="125"/>
      <c r="G62" s="125"/>
      <c r="H62" s="125"/>
      <c r="I62" s="125"/>
      <c r="J62" s="125"/>
      <c r="K62" s="125"/>
      <c r="L62" s="125"/>
      <c r="M62" s="125"/>
      <c r="N62" s="126"/>
    </row>
    <row r="63" spans="1:14" ht="17.25" customHeight="1" x14ac:dyDescent="0.25">
      <c r="A63" s="25">
        <v>51</v>
      </c>
      <c r="B63" s="124"/>
      <c r="C63" s="125"/>
      <c r="D63" s="125"/>
      <c r="E63" s="125"/>
      <c r="F63" s="125"/>
      <c r="G63" s="125"/>
      <c r="H63" s="125"/>
      <c r="I63" s="125"/>
      <c r="J63" s="125"/>
      <c r="K63" s="125"/>
      <c r="L63" s="125"/>
      <c r="M63" s="125"/>
      <c r="N63" s="126"/>
    </row>
    <row r="64" spans="1:14" ht="17.25" customHeight="1" x14ac:dyDescent="0.25">
      <c r="A64" s="25">
        <v>52</v>
      </c>
      <c r="B64" s="124"/>
      <c r="C64" s="125"/>
      <c r="D64" s="125"/>
      <c r="E64" s="125"/>
      <c r="F64" s="125"/>
      <c r="G64" s="125"/>
      <c r="H64" s="125"/>
      <c r="I64" s="125"/>
      <c r="J64" s="125"/>
      <c r="K64" s="125"/>
      <c r="L64" s="125"/>
      <c r="M64" s="125"/>
      <c r="N64" s="126"/>
    </row>
    <row r="65" spans="1:14" ht="17.25" customHeight="1" x14ac:dyDescent="0.25">
      <c r="A65" s="25">
        <v>53</v>
      </c>
      <c r="B65" s="124"/>
      <c r="C65" s="125"/>
      <c r="D65" s="125"/>
      <c r="E65" s="125"/>
      <c r="F65" s="125"/>
      <c r="G65" s="125"/>
      <c r="H65" s="125"/>
      <c r="I65" s="125"/>
      <c r="J65" s="125"/>
      <c r="K65" s="125"/>
      <c r="L65" s="125"/>
      <c r="M65" s="125"/>
      <c r="N65" s="126"/>
    </row>
    <row r="66" spans="1:14" ht="17.25" customHeight="1" x14ac:dyDescent="0.25">
      <c r="A66" s="25">
        <v>54</v>
      </c>
      <c r="B66" s="124"/>
      <c r="C66" s="125"/>
      <c r="D66" s="125"/>
      <c r="E66" s="125"/>
      <c r="F66" s="125"/>
      <c r="G66" s="125"/>
      <c r="H66" s="125"/>
      <c r="I66" s="125"/>
      <c r="J66" s="125"/>
      <c r="K66" s="125"/>
      <c r="L66" s="125"/>
      <c r="M66" s="125"/>
      <c r="N66" s="126"/>
    </row>
    <row r="67" spans="1:14" ht="17.25" customHeight="1" x14ac:dyDescent="0.25">
      <c r="A67" s="25">
        <v>55</v>
      </c>
      <c r="B67" s="124"/>
      <c r="C67" s="125"/>
      <c r="D67" s="125"/>
      <c r="E67" s="125"/>
      <c r="F67" s="125"/>
      <c r="G67" s="125"/>
      <c r="H67" s="125"/>
      <c r="I67" s="125"/>
      <c r="J67" s="125"/>
      <c r="K67" s="125"/>
      <c r="L67" s="125"/>
      <c r="M67" s="125"/>
      <c r="N67" s="126"/>
    </row>
    <row r="68" spans="1:14" ht="17.25" customHeight="1" x14ac:dyDescent="0.25">
      <c r="A68" s="25">
        <v>56</v>
      </c>
      <c r="B68" s="124"/>
      <c r="C68" s="125"/>
      <c r="D68" s="125"/>
      <c r="E68" s="125"/>
      <c r="F68" s="125"/>
      <c r="G68" s="125"/>
      <c r="H68" s="125"/>
      <c r="I68" s="125"/>
      <c r="J68" s="125"/>
      <c r="K68" s="125"/>
      <c r="L68" s="125"/>
      <c r="M68" s="125"/>
      <c r="N68" s="126"/>
    </row>
    <row r="69" spans="1:14" ht="17.25" customHeight="1" x14ac:dyDescent="0.25">
      <c r="A69" s="25">
        <v>57</v>
      </c>
      <c r="B69" s="124"/>
      <c r="C69" s="125"/>
      <c r="D69" s="125"/>
      <c r="E69" s="125"/>
      <c r="F69" s="125"/>
      <c r="G69" s="125"/>
      <c r="H69" s="125"/>
      <c r="I69" s="125"/>
      <c r="J69" s="125"/>
      <c r="K69" s="125"/>
      <c r="L69" s="125"/>
      <c r="M69" s="125"/>
      <c r="N69" s="126"/>
    </row>
    <row r="70" spans="1:14" ht="17.25" customHeight="1" x14ac:dyDescent="0.25">
      <c r="A70" s="25">
        <v>58</v>
      </c>
      <c r="B70" s="124"/>
      <c r="C70" s="125"/>
      <c r="D70" s="125"/>
      <c r="E70" s="125"/>
      <c r="F70" s="125"/>
      <c r="G70" s="125"/>
      <c r="H70" s="125"/>
      <c r="I70" s="125"/>
      <c r="J70" s="125"/>
      <c r="K70" s="125"/>
      <c r="L70" s="125"/>
      <c r="M70" s="125"/>
      <c r="N70" s="126"/>
    </row>
    <row r="71" spans="1:14" ht="17.25" customHeight="1" x14ac:dyDescent="0.25">
      <c r="A71" s="25">
        <v>59</v>
      </c>
      <c r="B71" s="124"/>
      <c r="C71" s="125"/>
      <c r="D71" s="125"/>
      <c r="E71" s="125"/>
      <c r="F71" s="125"/>
      <c r="G71" s="125"/>
      <c r="H71" s="125"/>
      <c r="I71" s="125"/>
      <c r="J71" s="125"/>
      <c r="K71" s="125"/>
      <c r="L71" s="125"/>
      <c r="M71" s="125"/>
      <c r="N71" s="126"/>
    </row>
    <row r="72" spans="1:14" ht="17.25" customHeight="1" thickBot="1" x14ac:dyDescent="0.3">
      <c r="A72" s="25">
        <v>60</v>
      </c>
      <c r="B72" s="148"/>
      <c r="C72" s="149"/>
      <c r="D72" s="149"/>
      <c r="E72" s="149"/>
      <c r="F72" s="149"/>
      <c r="G72" s="149"/>
      <c r="H72" s="149"/>
      <c r="I72" s="149"/>
      <c r="J72" s="149"/>
      <c r="K72" s="149"/>
      <c r="L72" s="149"/>
      <c r="M72" s="149"/>
      <c r="N72" s="150"/>
    </row>
  </sheetData>
  <autoFilter ref="A31:N72"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2">
    <mergeCell ref="B71:N71"/>
    <mergeCell ref="B72:N72"/>
    <mergeCell ref="E8:N8"/>
    <mergeCell ref="G9:N9"/>
    <mergeCell ref="B27:N27"/>
    <mergeCell ref="B65:N65"/>
    <mergeCell ref="B66:N66"/>
    <mergeCell ref="B67:N67"/>
    <mergeCell ref="B68:N68"/>
    <mergeCell ref="B69:N69"/>
    <mergeCell ref="B70:N70"/>
    <mergeCell ref="B59:N59"/>
    <mergeCell ref="B60:N60"/>
    <mergeCell ref="B61:N61"/>
    <mergeCell ref="B40:N40"/>
    <mergeCell ref="B62:N62"/>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63:N63"/>
    <mergeCell ref="B64:N64"/>
    <mergeCell ref="B53:N53"/>
    <mergeCell ref="B54:N54"/>
    <mergeCell ref="B55:N55"/>
    <mergeCell ref="B56:N56"/>
    <mergeCell ref="B57:N57"/>
    <mergeCell ref="B58:N58"/>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37:N37"/>
    <mergeCell ref="B22:N22"/>
    <mergeCell ref="B24:N24"/>
    <mergeCell ref="B26:N26"/>
    <mergeCell ref="B28:N28"/>
    <mergeCell ref="B29:N29"/>
    <mergeCell ref="B31:N31"/>
    <mergeCell ref="B32:N32"/>
    <mergeCell ref="B34:N34"/>
    <mergeCell ref="B35:N35"/>
    <mergeCell ref="B36:N36"/>
    <mergeCell ref="B30:N30"/>
    <mergeCell ref="B33:N33"/>
    <mergeCell ref="A1:C1"/>
    <mergeCell ref="B2:N2"/>
    <mergeCell ref="B3:N3"/>
    <mergeCell ref="B4:N4"/>
    <mergeCell ref="B5:N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152" t="s">
        <v>217</v>
      </c>
      <c r="J1" s="153"/>
      <c r="K1" s="153"/>
      <c r="L1" s="153"/>
      <c r="M1" s="153"/>
      <c r="N1" s="153"/>
      <c r="O1" s="153"/>
      <c r="P1" s="153"/>
      <c r="Q1" s="153"/>
      <c r="R1" s="153"/>
      <c r="S1" s="153"/>
      <c r="T1" s="153"/>
      <c r="U1" s="153"/>
      <c r="V1" s="154"/>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156" t="s">
        <v>214</v>
      </c>
      <c r="M2" s="156"/>
      <c r="N2" s="156"/>
      <c r="O2" s="156"/>
      <c r="P2" s="156"/>
      <c r="Q2" s="156"/>
      <c r="R2" s="156"/>
      <c r="S2" s="156"/>
      <c r="T2" s="156"/>
      <c r="U2" s="156"/>
      <c r="V2" s="156"/>
      <c r="W2" s="156"/>
      <c r="X2" s="156"/>
    </row>
    <row r="3" spans="1:24" x14ac:dyDescent="0.25">
      <c r="A3" s="29">
        <v>44236</v>
      </c>
      <c r="B3" s="30" t="s">
        <v>42</v>
      </c>
      <c r="C3" s="30" t="s">
        <v>45</v>
      </c>
      <c r="D3" s="30" t="s">
        <v>46</v>
      </c>
      <c r="E3" s="30">
        <v>40</v>
      </c>
      <c r="F3" s="30">
        <v>4.99</v>
      </c>
      <c r="G3" s="31">
        <f t="shared" si="0"/>
        <v>199.60000000000002</v>
      </c>
      <c r="I3" s="13" t="s">
        <v>42</v>
      </c>
      <c r="J3">
        <v>10909.43</v>
      </c>
      <c r="L3" s="155" t="s">
        <v>215</v>
      </c>
      <c r="M3" s="155"/>
      <c r="N3" s="155"/>
      <c r="O3" s="155"/>
      <c r="P3" s="155"/>
      <c r="Q3" s="155"/>
      <c r="R3" s="155"/>
      <c r="S3" s="155"/>
      <c r="T3" s="155"/>
      <c r="U3" s="155"/>
      <c r="V3" s="155"/>
      <c r="W3" s="155"/>
      <c r="X3" s="155"/>
    </row>
    <row r="4" spans="1:24" x14ac:dyDescent="0.25">
      <c r="A4" s="32">
        <v>44253</v>
      </c>
      <c r="B4" s="33" t="s">
        <v>42</v>
      </c>
      <c r="C4" s="33" t="s">
        <v>47</v>
      </c>
      <c r="D4" s="33" t="s">
        <v>48</v>
      </c>
      <c r="E4" s="33">
        <v>27</v>
      </c>
      <c r="F4" s="33">
        <v>19.989999999999998</v>
      </c>
      <c r="G4" s="34">
        <f t="shared" si="0"/>
        <v>539.7299999999999</v>
      </c>
      <c r="I4" s="15" t="s">
        <v>49</v>
      </c>
      <c r="J4">
        <v>438.37</v>
      </c>
      <c r="L4" s="155" t="s">
        <v>216</v>
      </c>
      <c r="M4" s="155"/>
      <c r="N4" s="155"/>
      <c r="O4" s="155"/>
      <c r="P4" s="155"/>
      <c r="Q4" s="155"/>
      <c r="R4" s="155"/>
      <c r="S4" s="155"/>
      <c r="T4" s="155"/>
      <c r="U4" s="155"/>
      <c r="V4" s="155"/>
      <c r="W4" s="155"/>
      <c r="X4" s="155"/>
    </row>
    <row r="5" spans="1:24" x14ac:dyDescent="0.25">
      <c r="A5" s="29">
        <v>44304</v>
      </c>
      <c r="B5" s="30" t="s">
        <v>42</v>
      </c>
      <c r="C5" s="30" t="s">
        <v>49</v>
      </c>
      <c r="D5" s="30" t="s">
        <v>46</v>
      </c>
      <c r="E5" s="30">
        <v>75</v>
      </c>
      <c r="F5" s="30">
        <v>1.99</v>
      </c>
      <c r="G5" s="31">
        <f t="shared" si="0"/>
        <v>149.25</v>
      </c>
      <c r="I5" s="15" t="s">
        <v>47</v>
      </c>
      <c r="J5">
        <v>1749.8700000000001</v>
      </c>
      <c r="L5" s="156"/>
      <c r="M5" s="156"/>
      <c r="N5" s="156"/>
      <c r="O5" s="156"/>
      <c r="P5" s="156"/>
      <c r="Q5" s="156"/>
      <c r="R5" s="156"/>
      <c r="S5" s="156"/>
      <c r="T5" s="156"/>
      <c r="U5" s="156"/>
      <c r="V5" s="156"/>
      <c r="W5" s="156"/>
      <c r="X5" s="156"/>
    </row>
    <row r="6" spans="1:24" x14ac:dyDescent="0.25">
      <c r="A6" s="32">
        <v>44321</v>
      </c>
      <c r="B6" s="33" t="s">
        <v>42</v>
      </c>
      <c r="C6" s="33" t="s">
        <v>45</v>
      </c>
      <c r="D6" s="33" t="s">
        <v>46</v>
      </c>
      <c r="E6" s="33">
        <v>90</v>
      </c>
      <c r="F6" s="33">
        <v>4.99</v>
      </c>
      <c r="G6" s="34">
        <f t="shared" si="0"/>
        <v>449.1</v>
      </c>
      <c r="I6" s="15" t="s">
        <v>45</v>
      </c>
      <c r="J6">
        <v>2832.15</v>
      </c>
      <c r="L6" s="156"/>
      <c r="M6" s="156"/>
      <c r="N6" s="156"/>
      <c r="O6" s="156"/>
      <c r="P6" s="156"/>
      <c r="Q6" s="156"/>
      <c r="R6" s="156"/>
      <c r="S6" s="156"/>
      <c r="T6" s="156"/>
      <c r="U6" s="156"/>
      <c r="V6" s="156"/>
      <c r="W6" s="156"/>
      <c r="X6" s="156"/>
    </row>
    <row r="7" spans="1:24" x14ac:dyDescent="0.25">
      <c r="A7" s="29">
        <v>44372</v>
      </c>
      <c r="B7" s="30" t="s">
        <v>42</v>
      </c>
      <c r="C7" s="30" t="s">
        <v>50</v>
      </c>
      <c r="D7" s="30" t="s">
        <v>46</v>
      </c>
      <c r="E7" s="30">
        <v>90</v>
      </c>
      <c r="F7" s="30">
        <v>4.99</v>
      </c>
      <c r="G7" s="31">
        <f t="shared" si="0"/>
        <v>449.1</v>
      </c>
      <c r="I7" s="15" t="s">
        <v>43</v>
      </c>
      <c r="J7">
        <v>2309.84</v>
      </c>
      <c r="L7" s="156" t="s">
        <v>218</v>
      </c>
      <c r="M7" s="156"/>
      <c r="N7" s="156"/>
      <c r="O7" s="156"/>
      <c r="P7" s="156"/>
      <c r="Q7" s="156"/>
      <c r="R7" s="156"/>
      <c r="S7" s="156"/>
      <c r="T7" s="156"/>
      <c r="U7" s="156"/>
      <c r="V7" s="156"/>
      <c r="W7" s="156"/>
      <c r="X7" s="156"/>
    </row>
    <row r="8" spans="1:24" x14ac:dyDescent="0.25">
      <c r="A8" s="32">
        <v>44440</v>
      </c>
      <c r="B8" s="33" t="s">
        <v>42</v>
      </c>
      <c r="C8" s="33" t="s">
        <v>51</v>
      </c>
      <c r="D8" s="33" t="s">
        <v>52</v>
      </c>
      <c r="E8" s="33">
        <v>4</v>
      </c>
      <c r="F8" s="33">
        <v>200</v>
      </c>
      <c r="G8" s="34">
        <f t="shared" si="0"/>
        <v>800</v>
      </c>
      <c r="I8" s="15" t="s">
        <v>50</v>
      </c>
      <c r="J8">
        <v>1387.77</v>
      </c>
      <c r="L8" s="156"/>
      <c r="M8" s="156"/>
      <c r="N8" s="156"/>
      <c r="O8" s="156"/>
      <c r="P8" s="156"/>
      <c r="Q8" s="156"/>
      <c r="R8" s="156"/>
      <c r="S8" s="156"/>
      <c r="T8" s="156"/>
      <c r="U8" s="156"/>
      <c r="V8" s="156"/>
      <c r="W8" s="156"/>
      <c r="X8" s="156"/>
    </row>
    <row r="9" spans="1:24" x14ac:dyDescent="0.25">
      <c r="A9" s="29">
        <v>44474</v>
      </c>
      <c r="B9" s="30" t="s">
        <v>42</v>
      </c>
      <c r="C9" s="30" t="s">
        <v>50</v>
      </c>
      <c r="D9" s="30" t="s">
        <v>44</v>
      </c>
      <c r="E9" s="30">
        <v>28</v>
      </c>
      <c r="F9" s="30">
        <v>8.99</v>
      </c>
      <c r="G9" s="31">
        <f t="shared" si="0"/>
        <v>251.72</v>
      </c>
      <c r="I9" s="15" t="s">
        <v>51</v>
      </c>
      <c r="J9">
        <v>2191.4300000000003</v>
      </c>
      <c r="L9" s="156"/>
      <c r="M9" s="156"/>
      <c r="N9" s="156"/>
      <c r="O9" s="156"/>
      <c r="P9" s="156"/>
      <c r="Q9" s="156"/>
      <c r="R9" s="156"/>
      <c r="S9" s="156"/>
      <c r="T9" s="156"/>
      <c r="U9" s="156"/>
      <c r="V9" s="156"/>
      <c r="W9" s="156"/>
      <c r="X9" s="156"/>
    </row>
    <row r="10" spans="1:24" x14ac:dyDescent="0.25">
      <c r="A10" s="32">
        <v>44525</v>
      </c>
      <c r="B10" s="33" t="s">
        <v>42</v>
      </c>
      <c r="C10" s="33" t="s">
        <v>43</v>
      </c>
      <c r="D10" s="33" t="s">
        <v>53</v>
      </c>
      <c r="E10" s="33">
        <v>96</v>
      </c>
      <c r="F10" s="33">
        <v>4.99</v>
      </c>
      <c r="G10" s="34">
        <f t="shared" si="0"/>
        <v>479.04</v>
      </c>
      <c r="I10" s="13" t="s">
        <v>54</v>
      </c>
      <c r="J10">
        <v>6012.1299999999992</v>
      </c>
      <c r="L10" s="156"/>
      <c r="M10" s="156"/>
      <c r="N10" s="156"/>
      <c r="O10" s="156"/>
      <c r="P10" s="156"/>
      <c r="Q10" s="156"/>
      <c r="R10" s="156"/>
      <c r="S10" s="156"/>
      <c r="T10" s="156"/>
      <c r="U10" s="156"/>
      <c r="V10" s="156"/>
      <c r="W10" s="156"/>
      <c r="X10" s="156"/>
    </row>
    <row r="11" spans="1:24" x14ac:dyDescent="0.25">
      <c r="A11" s="29">
        <v>44542</v>
      </c>
      <c r="B11" s="30" t="s">
        <v>42</v>
      </c>
      <c r="C11" s="30" t="s">
        <v>51</v>
      </c>
      <c r="D11" s="30" t="s">
        <v>46</v>
      </c>
      <c r="E11" s="30">
        <v>67</v>
      </c>
      <c r="F11" s="30">
        <v>1.29</v>
      </c>
      <c r="G11" s="31">
        <f t="shared" si="0"/>
        <v>86.43</v>
      </c>
      <c r="I11" s="15" t="s">
        <v>56</v>
      </c>
      <c r="J11">
        <v>536.75</v>
      </c>
      <c r="L11" s="156"/>
      <c r="M11" s="156"/>
      <c r="N11" s="156"/>
      <c r="O11" s="156"/>
      <c r="P11" s="156"/>
      <c r="Q11" s="156"/>
      <c r="R11" s="156"/>
      <c r="S11" s="156"/>
      <c r="T11" s="156"/>
      <c r="U11" s="156"/>
      <c r="V11" s="156"/>
      <c r="W11" s="156"/>
      <c r="X11" s="156"/>
    </row>
    <row r="12" spans="1:24" x14ac:dyDescent="0.25">
      <c r="A12" s="32">
        <v>44576</v>
      </c>
      <c r="B12" s="33" t="s">
        <v>42</v>
      </c>
      <c r="C12" s="33" t="s">
        <v>47</v>
      </c>
      <c r="D12" s="33" t="s">
        <v>44</v>
      </c>
      <c r="E12" s="33">
        <v>46</v>
      </c>
      <c r="F12" s="33">
        <v>8.99</v>
      </c>
      <c r="G12" s="34">
        <f t="shared" si="0"/>
        <v>413.54</v>
      </c>
      <c r="I12" s="15" t="s">
        <v>55</v>
      </c>
      <c r="J12">
        <v>2373.08</v>
      </c>
      <c r="L12" s="156"/>
      <c r="M12" s="156"/>
      <c r="N12" s="156"/>
      <c r="O12" s="156"/>
      <c r="P12" s="156"/>
      <c r="Q12" s="156"/>
      <c r="R12" s="156"/>
      <c r="S12" s="156"/>
      <c r="T12" s="156"/>
      <c r="U12" s="156"/>
      <c r="V12" s="156"/>
      <c r="W12" s="156"/>
      <c r="X12" s="156"/>
    </row>
    <row r="13" spans="1:24" x14ac:dyDescent="0.25">
      <c r="A13" s="29">
        <v>44593</v>
      </c>
      <c r="B13" s="30" t="s">
        <v>42</v>
      </c>
      <c r="C13" s="30" t="s">
        <v>51</v>
      </c>
      <c r="D13" s="30" t="s">
        <v>44</v>
      </c>
      <c r="E13" s="30">
        <v>87</v>
      </c>
      <c r="F13" s="30">
        <v>15</v>
      </c>
      <c r="G13" s="31">
        <f t="shared" si="0"/>
        <v>1305</v>
      </c>
      <c r="I13" s="15" t="s">
        <v>57</v>
      </c>
      <c r="J13">
        <v>3102.2999999999997</v>
      </c>
      <c r="L13" s="156"/>
      <c r="M13" s="156"/>
      <c r="N13" s="156"/>
      <c r="O13" s="156"/>
      <c r="P13" s="156"/>
      <c r="Q13" s="156"/>
      <c r="R13" s="156"/>
      <c r="S13" s="156"/>
      <c r="T13" s="156"/>
      <c r="U13" s="156"/>
      <c r="V13" s="156"/>
      <c r="W13" s="156"/>
      <c r="X13" s="156"/>
    </row>
    <row r="14" spans="1:24" x14ac:dyDescent="0.25">
      <c r="A14" s="32">
        <v>44644</v>
      </c>
      <c r="B14" s="33" t="s">
        <v>42</v>
      </c>
      <c r="C14" s="33" t="s">
        <v>45</v>
      </c>
      <c r="D14" s="33" t="s">
        <v>53</v>
      </c>
      <c r="E14" s="33">
        <v>50</v>
      </c>
      <c r="F14" s="33">
        <v>4.99</v>
      </c>
      <c r="G14" s="34">
        <f t="shared" si="0"/>
        <v>249.5</v>
      </c>
      <c r="I14" s="13" t="s">
        <v>58</v>
      </c>
      <c r="J14">
        <v>2486.7199999999998</v>
      </c>
      <c r="L14" s="156"/>
      <c r="M14" s="156"/>
      <c r="N14" s="156"/>
      <c r="O14" s="156"/>
      <c r="P14" s="156"/>
      <c r="Q14" s="156"/>
      <c r="R14" s="156"/>
      <c r="S14" s="156"/>
      <c r="T14" s="156"/>
      <c r="U14" s="156"/>
      <c r="V14" s="156"/>
      <c r="W14" s="156"/>
      <c r="X14" s="156"/>
    </row>
    <row r="15" spans="1:24" x14ac:dyDescent="0.25">
      <c r="A15" s="29">
        <v>44661</v>
      </c>
      <c r="B15" s="30" t="s">
        <v>42</v>
      </c>
      <c r="C15" s="30" t="s">
        <v>49</v>
      </c>
      <c r="D15" s="30" t="s">
        <v>46</v>
      </c>
      <c r="E15" s="30">
        <v>66</v>
      </c>
      <c r="F15" s="30">
        <v>1.99</v>
      </c>
      <c r="G15" s="31">
        <f t="shared" si="0"/>
        <v>131.34</v>
      </c>
      <c r="I15" s="15" t="s">
        <v>59</v>
      </c>
      <c r="J15">
        <v>1283.6099999999999</v>
      </c>
      <c r="L15" s="156"/>
      <c r="M15" s="156"/>
      <c r="N15" s="156"/>
      <c r="O15" s="156"/>
      <c r="P15" s="156"/>
      <c r="Q15" s="156"/>
      <c r="R15" s="156"/>
      <c r="S15" s="156"/>
      <c r="T15" s="156"/>
      <c r="U15" s="156"/>
      <c r="V15" s="156"/>
      <c r="W15" s="156"/>
      <c r="X15" s="156"/>
    </row>
    <row r="16" spans="1:24" x14ac:dyDescent="0.25">
      <c r="A16" s="32">
        <v>44695</v>
      </c>
      <c r="B16" s="33" t="s">
        <v>42</v>
      </c>
      <c r="C16" s="33" t="s">
        <v>47</v>
      </c>
      <c r="D16" s="33" t="s">
        <v>46</v>
      </c>
      <c r="E16" s="33">
        <v>53</v>
      </c>
      <c r="F16" s="33">
        <v>1.29</v>
      </c>
      <c r="G16" s="34">
        <f t="shared" si="0"/>
        <v>68.37</v>
      </c>
      <c r="I16" s="15" t="s">
        <v>60</v>
      </c>
      <c r="J16">
        <v>1203.1099999999999</v>
      </c>
      <c r="L16" s="156"/>
      <c r="M16" s="156"/>
      <c r="N16" s="156"/>
      <c r="O16" s="156"/>
      <c r="P16" s="156"/>
      <c r="Q16" s="156"/>
      <c r="R16" s="156"/>
      <c r="S16" s="156"/>
      <c r="T16" s="156"/>
      <c r="U16" s="156"/>
      <c r="V16" s="156"/>
      <c r="W16" s="156"/>
      <c r="X16" s="156"/>
    </row>
    <row r="17" spans="1:24" x14ac:dyDescent="0.25">
      <c r="A17" s="29">
        <v>44712</v>
      </c>
      <c r="B17" s="30" t="s">
        <v>42</v>
      </c>
      <c r="C17" s="30" t="s">
        <v>47</v>
      </c>
      <c r="D17" s="30" t="s">
        <v>44</v>
      </c>
      <c r="E17" s="30">
        <v>80</v>
      </c>
      <c r="F17" s="30">
        <v>8.99</v>
      </c>
      <c r="G17" s="31">
        <f t="shared" si="0"/>
        <v>719.2</v>
      </c>
      <c r="I17" s="13" t="s">
        <v>62</v>
      </c>
      <c r="J17">
        <v>19408.280000000002</v>
      </c>
      <c r="L17" s="156"/>
      <c r="M17" s="156"/>
      <c r="N17" s="156"/>
      <c r="O17" s="156"/>
      <c r="P17" s="156"/>
      <c r="Q17" s="156"/>
      <c r="R17" s="156"/>
      <c r="S17" s="156"/>
      <c r="T17" s="156"/>
      <c r="U17" s="156"/>
      <c r="V17" s="156"/>
      <c r="W17" s="156"/>
      <c r="X17" s="156"/>
    </row>
    <row r="18" spans="1:24" x14ac:dyDescent="0.25">
      <c r="A18" s="32">
        <v>44729</v>
      </c>
      <c r="B18" s="33" t="s">
        <v>42</v>
      </c>
      <c r="C18" s="33" t="s">
        <v>43</v>
      </c>
      <c r="D18" s="33" t="s">
        <v>52</v>
      </c>
      <c r="E18" s="33">
        <v>5</v>
      </c>
      <c r="F18" s="33">
        <v>125</v>
      </c>
      <c r="G18" s="34">
        <f t="shared" si="0"/>
        <v>625</v>
      </c>
      <c r="L18" s="156"/>
      <c r="M18" s="156"/>
      <c r="N18" s="156"/>
      <c r="O18" s="156"/>
      <c r="P18" s="156"/>
      <c r="Q18" s="156"/>
      <c r="R18" s="156"/>
      <c r="S18" s="156"/>
      <c r="T18" s="156"/>
      <c r="U18" s="156"/>
      <c r="V18" s="156"/>
      <c r="W18" s="156"/>
      <c r="X18" s="156"/>
    </row>
    <row r="19" spans="1:24" x14ac:dyDescent="0.25">
      <c r="A19" s="29">
        <v>44763</v>
      </c>
      <c r="B19" s="30" t="s">
        <v>42</v>
      </c>
      <c r="C19" s="30" t="s">
        <v>50</v>
      </c>
      <c r="D19" s="30" t="s">
        <v>53</v>
      </c>
      <c r="E19" s="30">
        <v>55</v>
      </c>
      <c r="F19" s="30">
        <v>12.49</v>
      </c>
      <c r="G19" s="31">
        <f t="shared" si="0"/>
        <v>686.95</v>
      </c>
      <c r="L19" s="156"/>
      <c r="M19" s="156"/>
      <c r="N19" s="156"/>
      <c r="O19" s="156"/>
      <c r="P19" s="156"/>
      <c r="Q19" s="156"/>
      <c r="R19" s="156"/>
      <c r="S19" s="156"/>
      <c r="T19" s="156"/>
      <c r="U19" s="156"/>
      <c r="V19" s="156"/>
      <c r="W19" s="156"/>
      <c r="X19" s="156"/>
    </row>
    <row r="20" spans="1:24" ht="18.75" customHeight="1" x14ac:dyDescent="0.25">
      <c r="A20" s="32">
        <v>44780</v>
      </c>
      <c r="B20" s="33" t="s">
        <v>42</v>
      </c>
      <c r="C20" s="33" t="s">
        <v>43</v>
      </c>
      <c r="D20" s="33" t="s">
        <v>53</v>
      </c>
      <c r="E20" s="33">
        <v>42</v>
      </c>
      <c r="F20" s="33">
        <v>23.95</v>
      </c>
      <c r="G20" s="34">
        <f t="shared" si="0"/>
        <v>1005.9</v>
      </c>
      <c r="I20" s="155" t="s">
        <v>213</v>
      </c>
      <c r="J20" s="155"/>
      <c r="K20" s="155"/>
      <c r="L20" s="155"/>
      <c r="M20" s="155"/>
      <c r="N20" s="155"/>
      <c r="O20" s="155"/>
    </row>
    <row r="21" spans="1:24" x14ac:dyDescent="0.25">
      <c r="A21" s="29">
        <v>44814</v>
      </c>
      <c r="B21" s="30" t="s">
        <v>42</v>
      </c>
      <c r="C21" s="30" t="s">
        <v>47</v>
      </c>
      <c r="D21" s="30" t="s">
        <v>46</v>
      </c>
      <c r="E21" s="30">
        <v>7</v>
      </c>
      <c r="F21" s="30">
        <v>1.29</v>
      </c>
      <c r="G21" s="31">
        <f t="shared" si="0"/>
        <v>9.0300000000000011</v>
      </c>
      <c r="I21" s="155" t="s">
        <v>207</v>
      </c>
      <c r="J21" s="155"/>
      <c r="K21" s="155"/>
      <c r="L21" s="155"/>
      <c r="M21" s="155"/>
      <c r="N21" s="155"/>
      <c r="O21" s="155"/>
    </row>
    <row r="22" spans="1:24" x14ac:dyDescent="0.25">
      <c r="A22" s="32">
        <v>44865</v>
      </c>
      <c r="B22" s="33" t="s">
        <v>42</v>
      </c>
      <c r="C22" s="33" t="s">
        <v>49</v>
      </c>
      <c r="D22" s="33" t="s">
        <v>46</v>
      </c>
      <c r="E22" s="33">
        <v>14</v>
      </c>
      <c r="F22" s="33">
        <v>1.29</v>
      </c>
      <c r="G22" s="34">
        <f t="shared" si="0"/>
        <v>18.060000000000002</v>
      </c>
      <c r="I22" s="155" t="s">
        <v>209</v>
      </c>
      <c r="J22" s="155"/>
      <c r="K22" s="155"/>
      <c r="L22" s="155"/>
      <c r="M22" s="155"/>
      <c r="N22" s="155"/>
      <c r="O22" s="155"/>
    </row>
    <row r="23" spans="1:24" x14ac:dyDescent="0.25">
      <c r="A23" s="29">
        <v>44882</v>
      </c>
      <c r="B23" s="30" t="s">
        <v>42</v>
      </c>
      <c r="C23" s="30" t="s">
        <v>45</v>
      </c>
      <c r="D23" s="30" t="s">
        <v>44</v>
      </c>
      <c r="E23" s="30">
        <v>11</v>
      </c>
      <c r="F23" s="30">
        <v>4.99</v>
      </c>
      <c r="G23" s="31">
        <f t="shared" si="0"/>
        <v>54.89</v>
      </c>
      <c r="I23" s="158" t="s">
        <v>208</v>
      </c>
      <c r="J23" s="158"/>
      <c r="K23" s="158"/>
      <c r="L23" s="158"/>
      <c r="M23" s="158"/>
      <c r="N23" s="158"/>
      <c r="O23" s="158"/>
    </row>
    <row r="24" spans="1:24" x14ac:dyDescent="0.25">
      <c r="A24" s="32">
        <v>44899</v>
      </c>
      <c r="B24" s="33" t="s">
        <v>42</v>
      </c>
      <c r="C24" s="33" t="s">
        <v>45</v>
      </c>
      <c r="D24" s="33" t="s">
        <v>44</v>
      </c>
      <c r="E24" s="33">
        <v>94</v>
      </c>
      <c r="F24" s="33">
        <v>19.989999999999998</v>
      </c>
      <c r="G24" s="34">
        <f t="shared" si="0"/>
        <v>1879.06</v>
      </c>
      <c r="I24" s="155"/>
      <c r="J24" s="155"/>
      <c r="K24" s="155"/>
      <c r="L24" s="155"/>
      <c r="M24" s="155"/>
      <c r="N24" s="155"/>
    </row>
    <row r="25" spans="1:24" x14ac:dyDescent="0.25">
      <c r="A25" s="29">
        <v>44916</v>
      </c>
      <c r="B25" s="30" t="s">
        <v>42</v>
      </c>
      <c r="C25" s="30" t="s">
        <v>49</v>
      </c>
      <c r="D25" s="30" t="s">
        <v>44</v>
      </c>
      <c r="E25" s="30">
        <v>28</v>
      </c>
      <c r="F25" s="30">
        <v>4.99</v>
      </c>
      <c r="G25" s="31">
        <f t="shared" si="0"/>
        <v>139.72</v>
      </c>
      <c r="I25" s="155"/>
      <c r="J25" s="155"/>
      <c r="K25" s="155"/>
      <c r="L25" s="155"/>
      <c r="M25" s="155"/>
      <c r="N25" s="155"/>
    </row>
    <row r="26" spans="1:24" x14ac:dyDescent="0.25">
      <c r="A26" s="32">
        <v>44202</v>
      </c>
      <c r="B26" s="33" t="s">
        <v>54</v>
      </c>
      <c r="C26" s="33" t="s">
        <v>55</v>
      </c>
      <c r="D26" s="33" t="s">
        <v>46</v>
      </c>
      <c r="E26" s="33">
        <v>95</v>
      </c>
      <c r="F26" s="33">
        <v>1.99</v>
      </c>
      <c r="G26" s="34">
        <f t="shared" si="0"/>
        <v>189.05</v>
      </c>
      <c r="I26" s="155"/>
      <c r="J26" s="155"/>
      <c r="K26" s="155"/>
      <c r="L26" s="155"/>
      <c r="M26" s="155"/>
      <c r="N26" s="155"/>
    </row>
    <row r="27" spans="1:24" x14ac:dyDescent="0.25">
      <c r="A27" s="29">
        <v>44287</v>
      </c>
      <c r="B27" s="30" t="s">
        <v>54</v>
      </c>
      <c r="C27" s="30" t="s">
        <v>55</v>
      </c>
      <c r="D27" s="30" t="s">
        <v>44</v>
      </c>
      <c r="E27" s="30">
        <v>60</v>
      </c>
      <c r="F27" s="30">
        <v>4.99</v>
      </c>
      <c r="G27" s="31">
        <f t="shared" si="0"/>
        <v>299.40000000000003</v>
      </c>
      <c r="I27" s="155"/>
      <c r="J27" s="155"/>
      <c r="K27" s="155"/>
      <c r="L27" s="155"/>
      <c r="M27" s="155"/>
      <c r="N27" s="155"/>
    </row>
    <row r="28" spans="1:24" x14ac:dyDescent="0.25">
      <c r="A28" s="32">
        <v>44355</v>
      </c>
      <c r="B28" s="33" t="s">
        <v>54</v>
      </c>
      <c r="C28" s="33" t="s">
        <v>55</v>
      </c>
      <c r="D28" s="33" t="s">
        <v>44</v>
      </c>
      <c r="E28" s="33">
        <v>60</v>
      </c>
      <c r="F28" s="33">
        <v>8.99</v>
      </c>
      <c r="G28" s="34">
        <f t="shared" si="0"/>
        <v>539.4</v>
      </c>
      <c r="I28" s="155"/>
      <c r="J28" s="155"/>
      <c r="K28" s="155"/>
      <c r="L28" s="155"/>
      <c r="M28" s="155"/>
      <c r="N28" s="155"/>
    </row>
    <row r="29" spans="1:24" x14ac:dyDescent="0.25">
      <c r="A29" s="29">
        <v>44389</v>
      </c>
      <c r="B29" s="30" t="s">
        <v>54</v>
      </c>
      <c r="C29" s="30" t="s">
        <v>56</v>
      </c>
      <c r="D29" s="30" t="s">
        <v>44</v>
      </c>
      <c r="E29" s="30">
        <v>29</v>
      </c>
      <c r="F29" s="30">
        <v>1.99</v>
      </c>
      <c r="G29" s="31">
        <f t="shared" si="0"/>
        <v>57.71</v>
      </c>
      <c r="I29" s="155"/>
      <c r="J29" s="155"/>
      <c r="K29" s="155"/>
      <c r="L29" s="155"/>
      <c r="M29" s="155"/>
      <c r="N29" s="155"/>
    </row>
    <row r="30" spans="1:24" x14ac:dyDescent="0.25">
      <c r="A30" s="32">
        <v>44406</v>
      </c>
      <c r="B30" s="33" t="s">
        <v>54</v>
      </c>
      <c r="C30" s="33" t="s">
        <v>57</v>
      </c>
      <c r="D30" s="33" t="s">
        <v>44</v>
      </c>
      <c r="E30" s="33">
        <v>81</v>
      </c>
      <c r="F30" s="33">
        <v>19.989999999999998</v>
      </c>
      <c r="G30" s="34">
        <f t="shared" si="0"/>
        <v>1619.1899999999998</v>
      </c>
      <c r="I30" s="155"/>
      <c r="J30" s="155"/>
      <c r="K30" s="155"/>
      <c r="L30" s="155"/>
      <c r="M30" s="155"/>
      <c r="N30" s="155"/>
    </row>
    <row r="31" spans="1:24" x14ac:dyDescent="0.25">
      <c r="A31" s="29">
        <v>44423</v>
      </c>
      <c r="B31" s="30" t="s">
        <v>54</v>
      </c>
      <c r="C31" s="30" t="s">
        <v>55</v>
      </c>
      <c r="D31" s="30" t="s">
        <v>46</v>
      </c>
      <c r="E31" s="30">
        <v>35</v>
      </c>
      <c r="F31" s="30">
        <v>4.99</v>
      </c>
      <c r="G31" s="31">
        <f t="shared" si="0"/>
        <v>174.65</v>
      </c>
      <c r="I31" s="155"/>
      <c r="J31" s="155"/>
      <c r="K31" s="155"/>
      <c r="L31" s="155"/>
      <c r="M31" s="155"/>
      <c r="N31" s="155"/>
    </row>
    <row r="32" spans="1:24" x14ac:dyDescent="0.25">
      <c r="A32" s="32">
        <v>44457</v>
      </c>
      <c r="B32" s="33" t="s">
        <v>54</v>
      </c>
      <c r="C32" s="33" t="s">
        <v>55</v>
      </c>
      <c r="D32" s="33" t="s">
        <v>53</v>
      </c>
      <c r="E32" s="33">
        <v>16</v>
      </c>
      <c r="F32" s="33">
        <v>15.99</v>
      </c>
      <c r="G32" s="34">
        <f t="shared" si="0"/>
        <v>255.84</v>
      </c>
      <c r="I32" s="155"/>
      <c r="J32" s="155"/>
      <c r="K32" s="155"/>
      <c r="L32" s="155"/>
      <c r="M32" s="155"/>
      <c r="N32" s="155"/>
    </row>
    <row r="33" spans="1:16" x14ac:dyDescent="0.25">
      <c r="A33" s="29">
        <v>44491</v>
      </c>
      <c r="B33" s="30" t="s">
        <v>54</v>
      </c>
      <c r="C33" s="30" t="s">
        <v>55</v>
      </c>
      <c r="D33" s="30" t="s">
        <v>48</v>
      </c>
      <c r="E33" s="30">
        <v>64</v>
      </c>
      <c r="F33" s="30">
        <v>8.99</v>
      </c>
      <c r="G33" s="31">
        <f t="shared" si="0"/>
        <v>575.36</v>
      </c>
      <c r="I33" s="155"/>
      <c r="J33" s="155"/>
      <c r="K33" s="155"/>
      <c r="L33" s="155"/>
      <c r="M33" s="155"/>
      <c r="N33" s="155"/>
    </row>
    <row r="34" spans="1:16" x14ac:dyDescent="0.25">
      <c r="A34" s="32">
        <v>44508</v>
      </c>
      <c r="B34" s="33" t="s">
        <v>54</v>
      </c>
      <c r="C34" s="33" t="s">
        <v>57</v>
      </c>
      <c r="D34" s="33" t="s">
        <v>48</v>
      </c>
      <c r="E34" s="33">
        <v>15</v>
      </c>
      <c r="F34" s="33">
        <v>19.989999999999998</v>
      </c>
      <c r="G34" s="34">
        <f t="shared" si="0"/>
        <v>299.84999999999997</v>
      </c>
      <c r="I34" s="155"/>
      <c r="J34" s="155"/>
      <c r="K34" s="155"/>
      <c r="L34" s="155"/>
      <c r="M34" s="155"/>
      <c r="N34" s="155"/>
    </row>
    <row r="35" spans="1:16" x14ac:dyDescent="0.25">
      <c r="A35" s="29">
        <v>44559</v>
      </c>
      <c r="B35" s="30" t="s">
        <v>54</v>
      </c>
      <c r="C35" s="30" t="s">
        <v>57</v>
      </c>
      <c r="D35" s="30" t="s">
        <v>53</v>
      </c>
      <c r="E35" s="30">
        <v>74</v>
      </c>
      <c r="F35" s="30">
        <v>15.99</v>
      </c>
      <c r="G35" s="31">
        <f t="shared" si="0"/>
        <v>1183.26</v>
      </c>
      <c r="I35" s="157"/>
      <c r="J35" s="157"/>
      <c r="K35" s="157"/>
      <c r="L35" s="157"/>
      <c r="M35" s="157"/>
      <c r="N35" s="157"/>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156"/>
      <c r="J40" s="156"/>
      <c r="K40" s="156"/>
      <c r="L40" s="156"/>
      <c r="M40" s="156"/>
      <c r="N40" s="156"/>
      <c r="O40" s="156"/>
      <c r="P40" s="156"/>
    </row>
    <row r="41" spans="1:16" x14ac:dyDescent="0.25">
      <c r="A41" s="29">
        <v>44627</v>
      </c>
      <c r="B41" s="30" t="s">
        <v>58</v>
      </c>
      <c r="C41" s="30" t="s">
        <v>59</v>
      </c>
      <c r="D41" s="30" t="s">
        <v>44</v>
      </c>
      <c r="E41" s="30">
        <v>7</v>
      </c>
      <c r="F41" s="30">
        <v>19.989999999999998</v>
      </c>
      <c r="G41" s="31">
        <f t="shared" si="0"/>
        <v>139.92999999999998</v>
      </c>
      <c r="I41" s="155"/>
      <c r="J41" s="155"/>
      <c r="K41" s="155"/>
      <c r="L41" s="155"/>
      <c r="M41" s="155"/>
      <c r="N41" s="155"/>
      <c r="O41" s="155"/>
      <c r="P41" s="155"/>
    </row>
    <row r="42" spans="1:16" ht="15" customHeight="1" x14ac:dyDescent="0.25">
      <c r="A42" s="32">
        <v>44797</v>
      </c>
      <c r="B42" s="33" t="s">
        <v>58</v>
      </c>
      <c r="C42" s="33" t="s">
        <v>59</v>
      </c>
      <c r="D42" s="33" t="s">
        <v>52</v>
      </c>
      <c r="E42" s="33">
        <v>3</v>
      </c>
      <c r="F42" s="33">
        <v>275</v>
      </c>
      <c r="G42" s="34">
        <f t="shared" si="0"/>
        <v>825</v>
      </c>
      <c r="I42" s="156" t="s">
        <v>210</v>
      </c>
      <c r="J42" s="156"/>
      <c r="K42" s="156"/>
      <c r="L42" s="156"/>
      <c r="M42" s="156"/>
      <c r="N42" s="156"/>
      <c r="O42" s="156"/>
      <c r="P42" s="156"/>
    </row>
    <row r="43" spans="1:16" x14ac:dyDescent="0.25">
      <c r="A43" s="29">
        <v>44831</v>
      </c>
      <c r="B43" s="30" t="s">
        <v>58</v>
      </c>
      <c r="C43" s="30" t="s">
        <v>59</v>
      </c>
      <c r="D43" s="30" t="s">
        <v>48</v>
      </c>
      <c r="E43" s="30">
        <v>76</v>
      </c>
      <c r="F43" s="30">
        <v>1.99</v>
      </c>
      <c r="G43" s="31">
        <f t="shared" si="0"/>
        <v>151.24</v>
      </c>
      <c r="I43" s="155" t="s">
        <v>211</v>
      </c>
      <c r="J43" s="155"/>
      <c r="K43" s="155"/>
      <c r="L43" s="155"/>
      <c r="M43" s="155"/>
      <c r="N43" s="155"/>
      <c r="O43" s="155"/>
      <c r="P43" s="155"/>
    </row>
    <row r="44" spans="1:16" ht="15" customHeight="1" x14ac:dyDescent="0.25">
      <c r="A44" s="32">
        <v>44848</v>
      </c>
      <c r="B44" s="33" t="s">
        <v>58</v>
      </c>
      <c r="C44" s="33" t="s">
        <v>60</v>
      </c>
      <c r="D44" s="33" t="s">
        <v>44</v>
      </c>
      <c r="E44" s="33">
        <v>57</v>
      </c>
      <c r="F44" s="33">
        <v>19.989999999999998</v>
      </c>
      <c r="G44" s="34">
        <f t="shared" si="0"/>
        <v>1139.4299999999998</v>
      </c>
      <c r="I44" s="159" t="s">
        <v>212</v>
      </c>
      <c r="J44" s="159"/>
      <c r="K44" s="159"/>
      <c r="L44" s="159"/>
      <c r="M44" s="159"/>
      <c r="N44" s="159"/>
      <c r="O44" s="159"/>
      <c r="P44" s="159"/>
    </row>
    <row r="45" spans="1:16" ht="15.75" thickBot="1" x14ac:dyDescent="0.3">
      <c r="A45" s="35"/>
      <c r="B45" s="36"/>
      <c r="C45" s="36"/>
      <c r="D45" s="36"/>
      <c r="E45" s="36"/>
      <c r="F45" s="36"/>
      <c r="G45" s="37"/>
      <c r="I45" s="155"/>
      <c r="J45" s="155"/>
      <c r="K45" s="155"/>
      <c r="L45" s="155"/>
      <c r="M45" s="155"/>
      <c r="N45" s="155"/>
      <c r="O45" s="155"/>
      <c r="P45" s="155"/>
    </row>
    <row r="46" spans="1:16" x14ac:dyDescent="0.25">
      <c r="A46"/>
      <c r="I46" s="155"/>
      <c r="J46" s="155"/>
      <c r="K46" s="155"/>
      <c r="L46" s="155"/>
      <c r="M46" s="155"/>
      <c r="N46" s="155"/>
      <c r="O46" s="155"/>
      <c r="P46" s="155"/>
    </row>
    <row r="47" spans="1:16" x14ac:dyDescent="0.25">
      <c r="A47"/>
      <c r="I47" s="155"/>
      <c r="J47" s="155"/>
      <c r="K47" s="155"/>
      <c r="L47" s="155"/>
      <c r="M47" s="155"/>
      <c r="N47" s="155"/>
      <c r="O47" s="155"/>
      <c r="P47" s="155"/>
    </row>
    <row r="48" spans="1:16" x14ac:dyDescent="0.25">
      <c r="A48"/>
      <c r="I48" s="155"/>
      <c r="J48" s="155"/>
      <c r="K48" s="155"/>
      <c r="L48" s="155"/>
      <c r="M48" s="155"/>
      <c r="N48" s="155"/>
      <c r="O48" s="155"/>
      <c r="P48" s="155"/>
    </row>
    <row r="49" spans="1:16" x14ac:dyDescent="0.25">
      <c r="A49"/>
      <c r="I49" s="155"/>
      <c r="J49" s="155"/>
      <c r="K49" s="155"/>
      <c r="L49" s="155"/>
      <c r="M49" s="155"/>
      <c r="N49" s="155"/>
      <c r="O49" s="155"/>
      <c r="P49" s="155"/>
    </row>
    <row r="50" spans="1:16" x14ac:dyDescent="0.25">
      <c r="A50"/>
      <c r="I50" s="155"/>
      <c r="J50" s="155"/>
      <c r="K50" s="155"/>
      <c r="L50" s="155"/>
      <c r="M50" s="155"/>
      <c r="N50" s="155"/>
      <c r="O50" s="155"/>
      <c r="P50" s="155"/>
    </row>
    <row r="51" spans="1:16" x14ac:dyDescent="0.25">
      <c r="A51"/>
      <c r="I51" s="155"/>
      <c r="J51" s="155"/>
      <c r="K51" s="155"/>
      <c r="L51" s="155"/>
      <c r="M51" s="155"/>
      <c r="N51" s="155"/>
      <c r="O51" s="155"/>
      <c r="P51" s="155"/>
    </row>
    <row r="52" spans="1:16" x14ac:dyDescent="0.25">
      <c r="A52"/>
      <c r="I52" s="155"/>
      <c r="J52" s="155"/>
      <c r="K52" s="155"/>
      <c r="L52" s="155"/>
      <c r="M52" s="155"/>
      <c r="N52" s="155"/>
      <c r="O52" s="155"/>
      <c r="P52" s="155"/>
    </row>
    <row r="53" spans="1:16" x14ac:dyDescent="0.25">
      <c r="A53"/>
      <c r="I53" s="157"/>
      <c r="J53" s="157"/>
      <c r="K53" s="157"/>
      <c r="L53" s="157"/>
      <c r="M53" s="157"/>
      <c r="N53" s="157"/>
      <c r="O53" s="157"/>
      <c r="P53" s="157"/>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163" t="s">
        <v>104</v>
      </c>
      <c r="D1" s="163"/>
      <c r="E1" s="163"/>
      <c r="F1" s="163"/>
      <c r="G1" s="163"/>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163" t="s">
        <v>139</v>
      </c>
      <c r="D18" s="163"/>
      <c r="E18" s="163"/>
      <c r="F18" s="163"/>
      <c r="G18" s="163"/>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164" t="s">
        <v>159</v>
      </c>
      <c r="E34" s="164"/>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163" t="s">
        <v>161</v>
      </c>
      <c r="D39" s="163"/>
      <c r="E39" s="163"/>
      <c r="F39" s="163"/>
      <c r="G39" s="163"/>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162" t="s">
        <v>199</v>
      </c>
      <c r="L41" s="162"/>
    </row>
    <row r="42" spans="3:13" x14ac:dyDescent="0.25">
      <c r="C42" s="75" t="s">
        <v>168</v>
      </c>
      <c r="D42" s="1" t="s">
        <v>107</v>
      </c>
      <c r="E42" s="84">
        <v>60</v>
      </c>
      <c r="F42" s="89">
        <v>42</v>
      </c>
      <c r="G42" s="89">
        <v>35</v>
      </c>
      <c r="H42" s="85">
        <v>65</v>
      </c>
      <c r="K42" s="157" t="s">
        <v>195</v>
      </c>
      <c r="L42" s="157"/>
      <c r="M42" t="s">
        <v>120</v>
      </c>
    </row>
    <row r="43" spans="3:13" x14ac:dyDescent="0.25">
      <c r="C43" s="75" t="s">
        <v>169</v>
      </c>
      <c r="D43" s="1" t="s">
        <v>107</v>
      </c>
      <c r="E43" s="84">
        <v>80</v>
      </c>
      <c r="F43" s="89">
        <v>67</v>
      </c>
      <c r="G43" s="89">
        <v>45</v>
      </c>
      <c r="H43" s="85">
        <v>89</v>
      </c>
      <c r="K43" s="157" t="s">
        <v>194</v>
      </c>
      <c r="L43" s="157"/>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162" t="s">
        <v>204</v>
      </c>
      <c r="L45" s="162"/>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160" t="s">
        <v>196</v>
      </c>
      <c r="D67" s="161"/>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C1:G1"/>
    <mergeCell ref="C18:G18"/>
    <mergeCell ref="D34:E34"/>
    <mergeCell ref="C39:G39"/>
    <mergeCell ref="C67:D67"/>
    <mergeCell ref="K41:L41"/>
    <mergeCell ref="K42:L42"/>
    <mergeCell ref="K43:L43"/>
    <mergeCell ref="K45:L45"/>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M26"/>
  <sheetViews>
    <sheetView workbookViewId="0">
      <selection activeCell="M9" sqref="M9"/>
    </sheetView>
  </sheetViews>
  <sheetFormatPr defaultRowHeight="15" x14ac:dyDescent="0.25"/>
  <cols>
    <col min="1" max="1" width="14.5703125" bestFit="1" customWidth="1"/>
    <col min="4" max="4" width="38.5703125" bestFit="1" customWidth="1"/>
    <col min="5" max="5" width="37" bestFit="1" customWidth="1"/>
    <col min="6" max="6" width="5.7109375" customWidth="1"/>
    <col min="7" max="7" width="9" bestFit="1" customWidth="1"/>
    <col min="8" max="8" width="8.7109375" bestFit="1" customWidth="1"/>
    <col min="9" max="9" width="9.5703125" bestFit="1" customWidth="1"/>
    <col min="10" max="10" width="8.5703125" bestFit="1" customWidth="1"/>
    <col min="11" max="11" width="10.85546875" bestFit="1" customWidth="1"/>
    <col min="12" max="12" width="32.28515625" customWidth="1"/>
    <col min="13" max="13" width="20.28515625" bestFit="1" customWidth="1"/>
  </cols>
  <sheetData>
    <row r="1" spans="1:13" ht="20.25" customHeight="1" thickBot="1" x14ac:dyDescent="0.3">
      <c r="A1" s="180" t="s">
        <v>257</v>
      </c>
      <c r="B1" s="181"/>
      <c r="C1" s="182"/>
      <c r="D1" s="171" t="s">
        <v>253</v>
      </c>
      <c r="E1" s="171" t="s">
        <v>255</v>
      </c>
      <c r="L1" s="194" t="s">
        <v>261</v>
      </c>
      <c r="M1" s="194" t="s">
        <v>276</v>
      </c>
    </row>
    <row r="2" spans="1:13" ht="15.75" thickBot="1" x14ac:dyDescent="0.3">
      <c r="D2" s="175" t="s">
        <v>254</v>
      </c>
      <c r="E2" s="172" t="s">
        <v>256</v>
      </c>
      <c r="L2" s="195" t="s">
        <v>273</v>
      </c>
    </row>
    <row r="3" spans="1:13" ht="15.75" thickBot="1" x14ac:dyDescent="0.3">
      <c r="A3" s="54" t="s">
        <v>238</v>
      </c>
      <c r="B3" s="115" t="s">
        <v>249</v>
      </c>
      <c r="C3" s="174" t="s">
        <v>110</v>
      </c>
      <c r="D3" s="176" t="s">
        <v>239</v>
      </c>
      <c r="E3" s="173" t="s">
        <v>252</v>
      </c>
      <c r="G3" s="54" t="s">
        <v>263</v>
      </c>
      <c r="H3" s="92" t="s">
        <v>222</v>
      </c>
      <c r="I3" s="92" t="s">
        <v>264</v>
      </c>
      <c r="J3" s="92" t="s">
        <v>265</v>
      </c>
      <c r="K3" s="103" t="s">
        <v>266</v>
      </c>
      <c r="L3" s="196" t="s">
        <v>275</v>
      </c>
    </row>
    <row r="4" spans="1:13" x14ac:dyDescent="0.25">
      <c r="A4" s="116" t="s">
        <v>240</v>
      </c>
      <c r="B4" s="58" t="s">
        <v>107</v>
      </c>
      <c r="C4" s="71">
        <v>45</v>
      </c>
      <c r="D4" s="177" t="b">
        <f>AND(B4="Fire",C4&gt;70)</f>
        <v>0</v>
      </c>
      <c r="E4" s="167" t="b">
        <f>OR(B4="Fire",C4&gt;70)</f>
        <v>0</v>
      </c>
      <c r="G4" s="42" t="s">
        <v>267</v>
      </c>
      <c r="H4" s="200">
        <v>10</v>
      </c>
      <c r="I4" s="200">
        <v>4</v>
      </c>
      <c r="J4" s="200">
        <v>1</v>
      </c>
      <c r="K4" s="201">
        <v>1</v>
      </c>
      <c r="L4" s="202">
        <f>AVERAGE(H4:K4)</f>
        <v>4</v>
      </c>
    </row>
    <row r="5" spans="1:13" x14ac:dyDescent="0.25">
      <c r="A5" s="113" t="s">
        <v>241</v>
      </c>
      <c r="B5" s="45" t="s">
        <v>107</v>
      </c>
      <c r="C5" s="65">
        <v>60</v>
      </c>
      <c r="D5" s="178" t="b">
        <f t="shared" ref="D5:D12" si="0">AND(B5="Fire",C5&gt;70)</f>
        <v>0</v>
      </c>
      <c r="E5" s="168" t="b">
        <f t="shared" ref="E5:E12" si="1">OR(B5="Fire",C5&gt;70)</f>
        <v>0</v>
      </c>
      <c r="G5" s="43" t="s">
        <v>268</v>
      </c>
      <c r="H5" s="198">
        <v>12</v>
      </c>
      <c r="I5" s="198">
        <v>3</v>
      </c>
      <c r="J5" s="198">
        <v>4</v>
      </c>
      <c r="K5" s="199">
        <v>1</v>
      </c>
      <c r="L5" s="197">
        <f t="shared" ref="L5:L10" si="2">AVERAGE(H5:K5)</f>
        <v>5</v>
      </c>
    </row>
    <row r="6" spans="1:13" x14ac:dyDescent="0.25">
      <c r="A6" s="113" t="s">
        <v>242</v>
      </c>
      <c r="B6" s="45" t="s">
        <v>107</v>
      </c>
      <c r="C6" s="65">
        <v>80</v>
      </c>
      <c r="D6" s="178" t="b">
        <f t="shared" si="0"/>
        <v>0</v>
      </c>
      <c r="E6" s="168" t="b">
        <f t="shared" si="1"/>
        <v>1</v>
      </c>
      <c r="G6" s="43" t="s">
        <v>269</v>
      </c>
      <c r="H6" s="198">
        <v>15</v>
      </c>
      <c r="I6" s="198" t="s">
        <v>274</v>
      </c>
      <c r="J6" s="198">
        <v>2</v>
      </c>
      <c r="K6" s="199">
        <v>1</v>
      </c>
      <c r="L6" s="197">
        <f t="shared" si="2"/>
        <v>6</v>
      </c>
    </row>
    <row r="7" spans="1:13" x14ac:dyDescent="0.25">
      <c r="A7" s="113" t="s">
        <v>243</v>
      </c>
      <c r="B7" s="45" t="s">
        <v>108</v>
      </c>
      <c r="C7" s="65">
        <v>65</v>
      </c>
      <c r="D7" s="178" t="b">
        <f t="shared" si="0"/>
        <v>0</v>
      </c>
      <c r="E7" s="168" t="b">
        <f t="shared" si="1"/>
        <v>1</v>
      </c>
      <c r="G7" s="43" t="s">
        <v>270</v>
      </c>
      <c r="H7" s="198">
        <v>4</v>
      </c>
      <c r="I7" s="198">
        <v>2</v>
      </c>
      <c r="J7" s="198">
        <v>6</v>
      </c>
      <c r="K7" s="199">
        <v>0</v>
      </c>
      <c r="L7" s="197">
        <f t="shared" si="2"/>
        <v>3</v>
      </c>
    </row>
    <row r="8" spans="1:13" x14ac:dyDescent="0.25">
      <c r="A8" s="113" t="s">
        <v>244</v>
      </c>
      <c r="B8" s="45" t="s">
        <v>108</v>
      </c>
      <c r="C8" s="65">
        <v>80</v>
      </c>
      <c r="D8" s="178" t="b">
        <f t="shared" si="0"/>
        <v>1</v>
      </c>
      <c r="E8" s="168" t="b">
        <f t="shared" si="1"/>
        <v>1</v>
      </c>
      <c r="G8" s="43" t="s">
        <v>271</v>
      </c>
      <c r="H8" s="198">
        <v>10</v>
      </c>
      <c r="I8" s="198">
        <v>4</v>
      </c>
      <c r="J8" s="198">
        <v>1</v>
      </c>
      <c r="K8" s="199">
        <v>1</v>
      </c>
      <c r="L8" s="197">
        <f t="shared" si="2"/>
        <v>4</v>
      </c>
    </row>
    <row r="9" spans="1:13" ht="15.75" thickBot="1" x14ac:dyDescent="0.3">
      <c r="A9" s="113" t="s">
        <v>245</v>
      </c>
      <c r="B9" s="45" t="s">
        <v>108</v>
      </c>
      <c r="C9" s="65">
        <v>100</v>
      </c>
      <c r="D9" s="178" t="b">
        <f t="shared" si="0"/>
        <v>1</v>
      </c>
      <c r="E9" s="168" t="b">
        <f t="shared" si="1"/>
        <v>1</v>
      </c>
      <c r="G9" s="47" t="s">
        <v>272</v>
      </c>
      <c r="H9" s="203">
        <v>9</v>
      </c>
      <c r="I9" s="203">
        <v>2</v>
      </c>
      <c r="J9" s="203">
        <v>1</v>
      </c>
      <c r="K9" s="204">
        <v>0</v>
      </c>
      <c r="L9" s="205">
        <f t="shared" si="2"/>
        <v>3</v>
      </c>
    </row>
    <row r="10" spans="1:13" x14ac:dyDescent="0.25">
      <c r="A10" s="113" t="s">
        <v>246</v>
      </c>
      <c r="B10" s="45" t="s">
        <v>109</v>
      </c>
      <c r="C10" s="65">
        <v>43</v>
      </c>
      <c r="D10" s="178" t="b">
        <f t="shared" si="0"/>
        <v>0</v>
      </c>
      <c r="E10" s="168" t="b">
        <f t="shared" si="1"/>
        <v>0</v>
      </c>
    </row>
    <row r="11" spans="1:13" x14ac:dyDescent="0.25">
      <c r="A11" s="113" t="s">
        <v>247</v>
      </c>
      <c r="B11" s="45" t="s">
        <v>109</v>
      </c>
      <c r="C11" s="65">
        <v>70</v>
      </c>
      <c r="D11" s="178" t="b">
        <f t="shared" si="0"/>
        <v>0</v>
      </c>
      <c r="E11" s="168" t="b">
        <f t="shared" si="1"/>
        <v>0</v>
      </c>
    </row>
    <row r="12" spans="1:13" ht="15.75" thickBot="1" x14ac:dyDescent="0.3">
      <c r="A12" s="114" t="s">
        <v>248</v>
      </c>
      <c r="B12" s="48" t="s">
        <v>109</v>
      </c>
      <c r="C12" s="66">
        <v>78</v>
      </c>
      <c r="D12" s="179" t="b">
        <f t="shared" si="0"/>
        <v>0</v>
      </c>
      <c r="E12" s="169" t="b">
        <f t="shared" si="1"/>
        <v>1</v>
      </c>
    </row>
    <row r="13" spans="1:13" x14ac:dyDescent="0.25">
      <c r="A13" t="s">
        <v>166</v>
      </c>
    </row>
    <row r="15" spans="1:13" ht="18.75" customHeight="1" thickBot="1" x14ac:dyDescent="0.3">
      <c r="A15" s="165" t="s">
        <v>259</v>
      </c>
      <c r="B15" s="165"/>
      <c r="C15" s="165"/>
      <c r="D15" s="165"/>
      <c r="E15" s="165"/>
      <c r="F15" s="165"/>
    </row>
    <row r="16" spans="1:13" ht="20.25" customHeight="1" thickBot="1" x14ac:dyDescent="0.3">
      <c r="A16" s="183"/>
      <c r="B16" s="184"/>
      <c r="C16" s="184"/>
      <c r="D16" s="185" t="s">
        <v>258</v>
      </c>
      <c r="E16" s="190" t="s">
        <v>260</v>
      </c>
    </row>
    <row r="17" spans="1:5" ht="15.75" thickBot="1" x14ac:dyDescent="0.3">
      <c r="A17" s="54" t="s">
        <v>238</v>
      </c>
      <c r="B17" s="115" t="s">
        <v>249</v>
      </c>
      <c r="C17" s="115" t="s">
        <v>110</v>
      </c>
      <c r="D17" s="170" t="s">
        <v>239</v>
      </c>
      <c r="E17" s="171" t="s">
        <v>252</v>
      </c>
    </row>
    <row r="18" spans="1:5" x14ac:dyDescent="0.25">
      <c r="A18" s="188" t="s">
        <v>240</v>
      </c>
      <c r="B18" s="52" t="s">
        <v>107</v>
      </c>
      <c r="C18" s="52">
        <v>70</v>
      </c>
      <c r="D18" s="189" t="str">
        <f t="shared" ref="D18:D26" si="3">IF(AND(B18="Fire",C18&gt;=70),"Yes","No")</f>
        <v>No</v>
      </c>
      <c r="E18" s="191" t="str">
        <f>IF(OR(B18="Fire",C18&gt;=70),"Yes","No")</f>
        <v>Yes</v>
      </c>
    </row>
    <row r="19" spans="1:5" x14ac:dyDescent="0.25">
      <c r="A19" s="113" t="s">
        <v>241</v>
      </c>
      <c r="B19" s="45" t="s">
        <v>107</v>
      </c>
      <c r="C19" s="45">
        <v>60</v>
      </c>
      <c r="D19" s="186" t="str">
        <f t="shared" si="3"/>
        <v>No</v>
      </c>
      <c r="E19" s="192" t="str">
        <f t="shared" ref="E19:E26" si="4">IF(OR(B19="Fire",C19&gt;=70),"Yes","No")</f>
        <v>No</v>
      </c>
    </row>
    <row r="20" spans="1:5" x14ac:dyDescent="0.25">
      <c r="A20" s="113" t="s">
        <v>242</v>
      </c>
      <c r="B20" s="45" t="s">
        <v>107</v>
      </c>
      <c r="C20" s="45">
        <v>80</v>
      </c>
      <c r="D20" s="186" t="str">
        <f t="shared" si="3"/>
        <v>No</v>
      </c>
      <c r="E20" s="192" t="str">
        <f t="shared" si="4"/>
        <v>Yes</v>
      </c>
    </row>
    <row r="21" spans="1:5" x14ac:dyDescent="0.25">
      <c r="A21" s="113" t="s">
        <v>243</v>
      </c>
      <c r="B21" s="45" t="s">
        <v>108</v>
      </c>
      <c r="C21" s="45">
        <v>65</v>
      </c>
      <c r="D21" s="186" t="str">
        <f t="shared" si="3"/>
        <v>No</v>
      </c>
      <c r="E21" s="192" t="str">
        <f t="shared" si="4"/>
        <v>Yes</v>
      </c>
    </row>
    <row r="22" spans="1:5" x14ac:dyDescent="0.25">
      <c r="A22" s="113" t="s">
        <v>244</v>
      </c>
      <c r="B22" s="45" t="s">
        <v>108</v>
      </c>
      <c r="C22" s="45">
        <v>80</v>
      </c>
      <c r="D22" s="186" t="str">
        <f t="shared" si="3"/>
        <v>Yes</v>
      </c>
      <c r="E22" s="192" t="str">
        <f t="shared" si="4"/>
        <v>Yes</v>
      </c>
    </row>
    <row r="23" spans="1:5" x14ac:dyDescent="0.25">
      <c r="A23" s="113" t="s">
        <v>245</v>
      </c>
      <c r="B23" s="45" t="s">
        <v>108</v>
      </c>
      <c r="C23" s="45">
        <v>100</v>
      </c>
      <c r="D23" s="186" t="str">
        <f t="shared" si="3"/>
        <v>Yes</v>
      </c>
      <c r="E23" s="192" t="str">
        <f t="shared" si="4"/>
        <v>Yes</v>
      </c>
    </row>
    <row r="24" spans="1:5" x14ac:dyDescent="0.25">
      <c r="A24" s="113" t="s">
        <v>246</v>
      </c>
      <c r="B24" s="45" t="s">
        <v>109</v>
      </c>
      <c r="C24" s="45">
        <v>43</v>
      </c>
      <c r="D24" s="186" t="str">
        <f t="shared" si="3"/>
        <v>No</v>
      </c>
      <c r="E24" s="192" t="str">
        <f t="shared" si="4"/>
        <v>No</v>
      </c>
    </row>
    <row r="25" spans="1:5" x14ac:dyDescent="0.25">
      <c r="A25" s="113" t="s">
        <v>247</v>
      </c>
      <c r="B25" s="45" t="s">
        <v>108</v>
      </c>
      <c r="C25" s="45">
        <v>70</v>
      </c>
      <c r="D25" s="186" t="str">
        <f t="shared" si="3"/>
        <v>Yes</v>
      </c>
      <c r="E25" s="192" t="str">
        <f t="shared" si="4"/>
        <v>Yes</v>
      </c>
    </row>
    <row r="26" spans="1:5" ht="15.75" thickBot="1" x14ac:dyDescent="0.3">
      <c r="A26" s="114" t="s">
        <v>248</v>
      </c>
      <c r="B26" s="48" t="s">
        <v>109</v>
      </c>
      <c r="C26" s="48">
        <v>78</v>
      </c>
      <c r="D26" s="187" t="str">
        <f t="shared" si="3"/>
        <v>No</v>
      </c>
      <c r="E26" s="193" t="str">
        <f t="shared" si="4"/>
        <v>Yes</v>
      </c>
    </row>
  </sheetData>
  <mergeCells count="2">
    <mergeCell ref="A1:C1"/>
    <mergeCell ref="A15:F15"/>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166" t="s">
        <v>29</v>
      </c>
      <c r="G20" s="166"/>
      <c r="H20" s="166"/>
      <c r="I20" s="166"/>
      <c r="J20" s="166"/>
      <c r="K20" s="166"/>
      <c r="L20" s="166"/>
      <c r="M20" s="166"/>
      <c r="N20" s="166"/>
      <c r="O20" s="166"/>
      <c r="P20" s="166"/>
      <c r="Q20" s="166"/>
      <c r="R20" s="166"/>
      <c r="S20" s="166"/>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Excel Basics</vt:lpstr>
      <vt:lpstr>Pivot Table and Chart</vt:lpstr>
      <vt:lpstr>Conditional Formatting</vt:lpstr>
      <vt:lpstr>Excel Functions</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2024-02-03T18:33:09Z</dcterms:modified>
</cp:coreProperties>
</file>