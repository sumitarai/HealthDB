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5331673B-689B-489D-A052-3F65C1ED6017}" xr6:coauthVersionLast="47" xr6:coauthVersionMax="47" xr10:uidLastSave="{00000000-0000-0000-0000-000000000000}"/>
  <bookViews>
    <workbookView xWindow="28680" yWindow="-1620" windowWidth="29040" windowHeight="15840" firstSheet="1" activeTab="4" xr2:uid="{00000000-000D-0000-FFFF-FFFF00000000}"/>
  </bookViews>
  <sheets>
    <sheet name="Sheet1" sheetId="1" state="hidden" r:id="rId1"/>
    <sheet name="Excel Basics" sheetId="5" r:id="rId2"/>
    <sheet name="Pivot Table and Chart" sheetId="4" r:id="rId3"/>
    <sheet name="Conditional Formatting" sheetId="9" r:id="rId4"/>
    <sheet name="Excel Functions" sheetId="10" r:id="rId5"/>
    <sheet name="shortcuts" sheetId="2" r:id="rId6"/>
  </sheets>
  <functionGroups builtInGroupCount="19"/>
  <definedNames>
    <definedName name="_xlnm._FilterDatabase" localSheetId="1" hidden="1">'Excel Basics'!$A$31:$N$72</definedName>
    <definedName name="_xlnm._FilterDatabase" localSheetId="2" hidden="1">'Pivot Table and Chart'!$A$3:$G$3</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2" i="10" l="1"/>
  <c r="L63" i="10"/>
  <c r="L54" i="10"/>
  <c r="L55" i="10"/>
  <c r="L56" i="10"/>
  <c r="L57" i="10"/>
  <c r="L58" i="10"/>
  <c r="L59" i="10"/>
  <c r="L60" i="10"/>
  <c r="F62" i="10"/>
  <c r="F58" i="10"/>
  <c r="F56" i="10"/>
  <c r="D70" i="10"/>
  <c r="D71" i="10"/>
  <c r="D72" i="10"/>
  <c r="D73" i="10"/>
  <c r="D74" i="10"/>
  <c r="D75" i="10"/>
  <c r="D76" i="10"/>
  <c r="D77" i="10"/>
  <c r="D69" i="10"/>
  <c r="B64" i="10"/>
  <c r="B61" i="10"/>
  <c r="B60" i="10"/>
  <c r="B57" i="10"/>
  <c r="B56" i="10"/>
  <c r="B55" i="10"/>
  <c r="B59" i="10"/>
  <c r="B58" i="10"/>
  <c r="B62" i="10"/>
  <c r="B63" i="10"/>
  <c r="E32" i="10"/>
  <c r="E33" i="10" s="1"/>
  <c r="E34" i="10" s="1"/>
  <c r="E35" i="10" s="1"/>
  <c r="E36" i="10" s="1"/>
  <c r="E37" i="10" s="1"/>
  <c r="E38" i="10" s="1"/>
  <c r="E39" i="10" s="1"/>
  <c r="E40" i="10" s="1"/>
  <c r="E41" i="10" s="1"/>
  <c r="E42" i="10" s="1"/>
  <c r="E43" i="10" s="1"/>
  <c r="E44" i="10" s="1"/>
  <c r="E45" i="10" s="1"/>
  <c r="E46" i="10" s="1"/>
  <c r="E47" i="10" s="1"/>
  <c r="E48" i="10" s="1"/>
  <c r="E49" i="10" s="1"/>
  <c r="E50" i="10" s="1"/>
  <c r="D31" i="10"/>
  <c r="D32" i="10"/>
  <c r="D33" i="10"/>
  <c r="D34" i="10"/>
  <c r="D35" i="10"/>
  <c r="D36" i="10"/>
  <c r="D37" i="10"/>
  <c r="D38" i="10"/>
  <c r="D39" i="10"/>
  <c r="D40" i="10"/>
  <c r="D41" i="10"/>
  <c r="D42" i="10"/>
  <c r="D43" i="10"/>
  <c r="D44" i="10"/>
  <c r="D45" i="10"/>
  <c r="D46" i="10"/>
  <c r="D47" i="10"/>
  <c r="D48" i="10"/>
  <c r="D49" i="10"/>
  <c r="D50" i="10"/>
  <c r="L12" i="10"/>
  <c r="L13" i="10"/>
  <c r="L14" i="10"/>
  <c r="L5" i="10"/>
  <c r="L6" i="10"/>
  <c r="L7" i="10"/>
  <c r="L8" i="10"/>
  <c r="L9" i="10"/>
  <c r="L4" i="10"/>
  <c r="E19" i="10"/>
  <c r="E20" i="10"/>
  <c r="E21" i="10"/>
  <c r="E22" i="10"/>
  <c r="E23" i="10"/>
  <c r="E24" i="10"/>
  <c r="E25" i="10"/>
  <c r="E26" i="10"/>
  <c r="E18" i="10"/>
  <c r="E5" i="10"/>
  <c r="E6" i="10"/>
  <c r="E7" i="10"/>
  <c r="E8" i="10"/>
  <c r="E9" i="10"/>
  <c r="E10" i="10"/>
  <c r="E11" i="10"/>
  <c r="E12" i="10"/>
  <c r="E4" i="10"/>
  <c r="D18" i="10"/>
  <c r="D19" i="10"/>
  <c r="D20" i="10"/>
  <c r="D21" i="10"/>
  <c r="D22" i="10"/>
  <c r="D23" i="10"/>
  <c r="D24" i="10"/>
  <c r="D25" i="10"/>
  <c r="D26" i="10"/>
  <c r="D5" i="10"/>
  <c r="D6" i="10"/>
  <c r="D7" i="10"/>
  <c r="D8" i="10"/>
  <c r="D9" i="10"/>
  <c r="D10" i="10"/>
  <c r="D11" i="10"/>
  <c r="D12" i="10"/>
  <c r="D4" i="10"/>
  <c r="D84" i="9"/>
  <c r="D82" i="9"/>
  <c r="D81" i="9"/>
  <c r="E74" i="9"/>
  <c r="E75" i="9"/>
  <c r="E76" i="9"/>
  <c r="E77" i="9"/>
  <c r="E78" i="9"/>
  <c r="E79" i="9"/>
  <c r="E73" i="9"/>
  <c r="E67" i="9"/>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<sst xmlns="http://schemas.openxmlformats.org/spreadsheetml/2006/main" count="624" uniqueCount="339">
  <si>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</si>
  <si>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</si>
  <si>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</si>
  <si>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</si>
  <si>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</si>
  <si>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</si>
  <si>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</si>
  <si>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</si>
  <si>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</si>
  <si>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</si>
  <si>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</si>
  <si>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</si>
  <si>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</si>
  <si>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</si>
  <si>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</si>
  <si>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</si>
  <si>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</si>
  <si>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</si>
  <si>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</si>
  <si>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</si>
  <si>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</si>
  <si>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</si>
  <si>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</si>
  <si>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</si>
  <si>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</si>
  <si>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</si>
  <si>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</si>
  <si>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</si>
  <si>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</si>
  <si>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</si>
  <si>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</si>
  <si>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</si>
  <si>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</si>
  <si>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</si>
  <si>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</si>
  <si>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</si>
  <si>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</si>
  <si>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</si>
  <si>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</si>
  <si>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</si>
  <si>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</si>
  <si>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</si>
  <si>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</si>
  <si>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</si>
  <si>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</si>
  <si>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</si>
  <si>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</si>
  <si>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</si>
  <si>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</si>
  <si>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</si>
  <si>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</si>
  <si>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</si>
  <si>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</si>
  <si>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</si>
  <si>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</si>
  <si>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</si>
  <si>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</si>
  <si>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</si>
  <si>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</si>
  <si>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</si>
  <si>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</si>
  <si>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</si>
  <si>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</si>
  <si>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</si>
  <si>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</si>
  <si>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</si>
  <si>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</si>
  <si>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</si>
  <si>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</si>
  <si>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</si>
  <si>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</si>
  <si>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</si>
  <si>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</si>
  <si>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</si>
  <si>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</si>
  <si>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</si>
  <si>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</si>
  <si>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</si>
  <si>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</si>
  <si>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</si>
  <si>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</si>
  <si>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</si>
  <si>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</si>
  <si>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</si>
  <si>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</si>
  <si>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</si>
  <si>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</si>
  <si>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</si>
  <si>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</si>
  <si>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</si>
  <si>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</si>
  <si>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</si>
  <si>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</si>
  <si>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</si>
  <si>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</si>
  <si>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</si>
  <si>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</si>
  <si>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</si>
  <si>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</si>
  <si>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</si>
  <si>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</si>
  <si>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</si>
  <si>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</si>
  <si>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</si>
  <si>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</si>
  <si>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</si>
  <si>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</si>
  <si>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</si>
  <si>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</si>
  <si>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</si>
  <si>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</si>
  <si>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</si>
  <si>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</si>
  <si>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</si>
  <si>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</si>
  <si>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</si>
  <si>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</si>
  <si>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</si>
  <si>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</si>
  <si>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</si>
  <si>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</si>
  <si>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</si>
  <si>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</si>
  <si>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</si>
  <si>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</si>
  <si>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</si>
  <si>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</si>
  <si>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</si>
  <si>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</si>
  <si>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</si>
  <si>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</si>
  <si>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</si>
  <si>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</si>
  <si>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</si>
  <si>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</si>
  <si>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</si>
  <si>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</si>
  <si>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</si>
  <si>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</si>
  <si>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</si>
  <si>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</si>
  <si>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</si>
  <si>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</si>
  <si>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</si>
  <si>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</si>
  <si>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</si>
  <si>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</si>
  <si>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</si>
  <si>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</si>
  <si>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</si>
  <si>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</si>
  <si>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</si>
  <si>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</si>
  <si>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</si>
  <si>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</si>
  <si>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</si>
  <si>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</si>
  <si>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</si>
  <si>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</si>
  <si>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</si>
  <si>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</si>
  <si>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</si>
  <si>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</si>
  <si>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</si>
  <si>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</si>
  <si>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</si>
  <si>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</si>
  <si>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</si>
  <si>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</si>
  <si>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</si>
  <si>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</si>
  <si>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</si>
  <si>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</si>
  <si>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</si>
  <si>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</si>
  <si>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</si>
  <si>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</si>
  <si>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</si>
  <si>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</si>
  <si>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</si>
  <si>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</si>
  <si>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</si>
  <si>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</si>
  <si>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</si>
  <si>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</si>
  <si>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</si>
  <si>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</si>
  <si>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</si>
  <si>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</si>
  <si>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</si>
  <si>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</si>
  <si>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</si>
  <si>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</si>
  <si>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</si>
  <si>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</si>
  <si>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</si>
  <si>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</si>
  <si>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</si>
  <si>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</si>
  <si>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</si>
  <si>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</si>
  <si>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</si>
  <si>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</si>
  <si>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</si>
  <si>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</si>
  <si>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</si>
  <si>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</si>
  <si>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</si>
  <si>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</si>
  <si>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</si>
  <si>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</si>
  <si>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</si>
  <si>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</si>
  <si>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</si>
  <si>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</si>
  <si>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</si>
  <si>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</si>
  <si>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</si>
  <si>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</si>
  <si>
    <t>Item price</t>
  </si>
  <si>
    <t xml:space="preserve">Price   </t>
  </si>
  <si>
    <t>Shop cart</t>
  </si>
  <si>
    <t>Pokeball</t>
  </si>
  <si>
    <t>Great ball</t>
  </si>
  <si>
    <t>Ultra ball</t>
  </si>
  <si>
    <t>Potion</t>
  </si>
  <si>
    <t>Super potion</t>
  </si>
  <si>
    <t>Hyper potion</t>
  </si>
  <si>
    <t>Antidote</t>
  </si>
  <si>
    <t>Subtotal</t>
  </si>
  <si>
    <t>Discount</t>
  </si>
  <si>
    <t>Prices for items (E73:E79)</t>
  </si>
  <si>
    <t>Sub total (D81)</t>
  </si>
  <si>
    <t>Add discount (D82)</t>
  </si>
  <si>
    <t>Total price (D84)</t>
  </si>
  <si>
    <t>Discount %</t>
  </si>
  <si>
    <r>
      <rPr>
        <b/>
        <sz val="11"/>
        <color theme="1"/>
        <rFont val="Calibri"/>
        <family val="2"/>
        <scheme val="minor"/>
      </rPr>
      <t>Pivot Table</t>
    </r>
    <r>
      <rPr>
        <sz val="11"/>
        <color theme="1"/>
        <rFont val="Calibri"/>
        <family val="2"/>
        <scheme val="minor"/>
      </rPr>
      <t xml:space="preserve"> is a functionality in Excel which helps you organize and analyze large data sets</t>
    </r>
  </si>
  <si>
    <t>Complete the following to solve the case:</t>
  </si>
  <si>
    <t xml:space="preserve">    Name</t>
  </si>
  <si>
    <t>Fire Type AND more than 70 Speed</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</si>
  <si>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</si>
  <si>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</si>
  <si>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</si>
  <si>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</si>
  <si>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</si>
  <si>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</si>
  <si>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</si>
  <si>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</si>
  <si>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</si>
  <si>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Types</t>
  </si>
  <si>
    <r>
      <rPr>
        <b/>
        <sz val="11"/>
        <color theme="1"/>
        <rFont val="Calibri"/>
        <family val="2"/>
        <scheme val="minor"/>
      </rPr>
      <t>AND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F    /     F, T = F    /    F, F = F</t>
    </r>
  </si>
  <si>
    <r>
      <rPr>
        <b/>
        <sz val="11"/>
        <color theme="1"/>
        <rFont val="Calibri"/>
        <family val="2"/>
        <scheme val="minor"/>
      </rPr>
      <t>OR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T    /     F, T = T    /    F, F = F</t>
    </r>
  </si>
  <si>
    <t>Fire Type OR more than 70 Speed</t>
  </si>
  <si>
    <t xml:space="preserve">AND Functions </t>
  </si>
  <si>
    <t>=AND(B4="Fire",C4&gt;70)</t>
  </si>
  <si>
    <t>OR Functions</t>
  </si>
  <si>
    <t>=OR(B4="Fire",C4&gt;70)</t>
  </si>
  <si>
    <t>EXCEL Functions</t>
  </si>
  <si>
    <t>=IF(AND(B18="Fire",C18&gt;=70),"Yes","No")</t>
  </si>
  <si>
    <r>
      <t xml:space="preserve">Note: The </t>
    </r>
    <r>
      <rPr>
        <b/>
        <sz val="11"/>
        <color theme="1"/>
        <rFont val="Calibri"/>
        <family val="2"/>
        <scheme val="minor"/>
      </rPr>
      <t>AND/OR</t>
    </r>
    <r>
      <rPr>
        <sz val="11"/>
        <color theme="1"/>
        <rFont val="Calibri"/>
        <family val="2"/>
        <scheme val="minor"/>
      </rPr>
      <t xml:space="preserve"> function is often used together with the IF function. =IF(logical_test, [value_if_true], [value_if_false])</t>
    </r>
  </si>
  <si>
    <t>=IF(OR(B18="Fire",C18&gt;=70),"Yes","No")</t>
  </si>
  <si>
    <t>AVERAGE Functions</t>
  </si>
  <si>
    <t xml:space="preserve">    Trainer</t>
  </si>
  <si>
    <t>Great Ball</t>
  </si>
  <si>
    <t>Ultraball</t>
  </si>
  <si>
    <t>Master Ball</t>
  </si>
  <si>
    <t xml:space="preserve">    Iva</t>
  </si>
  <si>
    <t xml:space="preserve">    Liam</t>
  </si>
  <si>
    <t xml:space="preserve">    Jenny</t>
  </si>
  <si>
    <t xml:space="preserve">    Iben</t>
  </si>
  <si>
    <t xml:space="preserve">    Adora</t>
  </si>
  <si>
    <t xml:space="preserve">    Kasper</t>
  </si>
  <si>
    <t>=AVERAGE(H4:K4)</t>
  </si>
  <si>
    <t>Hi</t>
  </si>
  <si>
    <t>Average command and select range</t>
  </si>
  <si>
    <t>AVERAGEIF Functions</t>
  </si>
  <si>
    <t>Type average</t>
  </si>
  <si>
    <t>=AVERAGEIF(H$11:H$19, K12, I$11:I$19)</t>
  </si>
  <si>
    <t>Total stats</t>
  </si>
  <si>
    <t xml:space="preserve">    Poliwrath</t>
  </si>
  <si>
    <t xml:space="preserve">    Victreebel</t>
  </si>
  <si>
    <t xml:space="preserve">    Tentacool</t>
  </si>
  <si>
    <t xml:space="preserve">    Magneton</t>
  </si>
  <si>
    <t xml:space="preserve">    Dewgong</t>
  </si>
  <si>
    <t xml:space="preserve">    Cloyster</t>
  </si>
  <si>
    <t xml:space="preserve">    Onix</t>
  </si>
  <si>
    <t>Rock</t>
  </si>
  <si>
    <t xml:space="preserve">    Dragonair</t>
  </si>
  <si>
    <t xml:space="preserve">    Pidgeotto</t>
  </si>
  <si>
    <t xml:space="preserve">    Rattata</t>
  </si>
  <si>
    <t xml:space="preserve">    Beedrill</t>
  </si>
  <si>
    <t xml:space="preserve">    Doduo</t>
  </si>
  <si>
    <t xml:space="preserve">    Kingler</t>
  </si>
  <si>
    <t xml:space="preserve">    Nidoqueen</t>
  </si>
  <si>
    <t xml:space="preserve">    Hitmonchan</t>
  </si>
  <si>
    <t xml:space="preserve">    Arbok</t>
  </si>
  <si>
    <t xml:space="preserve">    Gastly</t>
  </si>
  <si>
    <t xml:space="preserve">    Magikarp</t>
  </si>
  <si>
    <t>Mankey</t>
  </si>
  <si>
    <t xml:space="preserve">  Name</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</si>
  <si>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</si>
  <si>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</si>
  <si>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</si>
  <si>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</si>
  <si>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</si>
  <si>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</si>
  <si>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</si>
  <si>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</si>
  <si>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</si>
  <si>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 xml:space="preserve">  </t>
  </si>
  <si>
    <t>Below 400</t>
  </si>
  <si>
    <t>Above 400</t>
  </si>
  <si>
    <r>
      <rPr>
        <b/>
        <sz val="11"/>
        <color theme="1"/>
        <rFont val="Calibri"/>
        <family val="2"/>
        <scheme val="minor"/>
      </rPr>
      <t>AVERAGEIF</t>
    </r>
    <r>
      <rPr>
        <sz val="11"/>
        <color theme="1"/>
        <rFont val="Calibri"/>
        <family val="2"/>
        <scheme val="minor"/>
      </rPr>
      <t xml:space="preserve"> function is a premade function in Excel, which calculates the average of a range based on a true or false condition. It has 3 parts:
=AVERAGEIF(range, criteria, [average_range])</t>
    </r>
  </si>
  <si>
    <r>
      <rPr>
        <b/>
        <sz val="11"/>
        <color theme="1"/>
        <rFont val="Calibri"/>
        <family val="2"/>
        <scheme val="minor"/>
      </rPr>
      <t>TRIM</t>
    </r>
    <r>
      <rPr>
        <sz val="11"/>
        <color theme="1"/>
        <rFont val="Calibri"/>
        <family val="2"/>
        <scheme val="minor"/>
      </rPr>
      <t xml:space="preserve"> function is premade in Excel and used to remove irregular text spacing and keep single spaces between words.</t>
    </r>
    <r>
      <rPr>
        <b/>
        <sz val="11"/>
        <color theme="1"/>
        <rFont val="Calibri"/>
        <family val="2"/>
        <scheme val="minor"/>
      </rPr>
      <t xml:space="preserve"> </t>
    </r>
    <r>
      <rPr>
        <sz val="11"/>
        <color theme="1"/>
        <rFont val="Calibri"/>
        <family val="2"/>
        <scheme val="minor"/>
      </rPr>
      <t>Use Trim to tidy up irregular spaces in the dataset within the range</t>
    </r>
    <r>
      <rPr>
        <b/>
        <sz val="11"/>
        <color theme="1"/>
        <rFont val="Calibri"/>
        <family val="2"/>
        <scheme val="minor"/>
      </rPr>
      <t xml:space="preserve">
=TRIM(cell) 
=TRIM(start cell:end cell)</t>
    </r>
  </si>
  <si>
    <r>
      <t>Copy the trimmed cell and</t>
    </r>
    <r>
      <rPr>
        <b/>
        <sz val="11"/>
        <color theme="1"/>
        <rFont val="Calibri"/>
        <family val="2"/>
        <scheme val="minor"/>
      </rPr>
      <t xml:space="preserve"> paste the value</t>
    </r>
    <r>
      <rPr>
        <sz val="11"/>
        <color theme="1"/>
        <rFont val="Calibri"/>
        <family val="2"/>
        <scheme val="minor"/>
      </rPr>
      <t xml:space="preserve"> to desired cell</t>
    </r>
  </si>
  <si>
    <r>
      <rPr>
        <b/>
        <sz val="11"/>
        <color theme="1"/>
        <rFont val="Calibri"/>
        <family val="2"/>
        <scheme val="minor"/>
      </rPr>
      <t>CONCAT</t>
    </r>
    <r>
      <rPr>
        <sz val="11"/>
        <color theme="1"/>
        <rFont val="Calibri"/>
        <family val="2"/>
        <scheme val="minor"/>
      </rPr>
      <t xml:space="preserve"> function is used to link multiple cells without adding any delimiters between the combined cell values. CONCAT function accepts cell values of both text and numbers. </t>
    </r>
    <r>
      <rPr>
        <b/>
        <sz val="11"/>
        <color theme="1"/>
        <rFont val="Calibri"/>
        <family val="2"/>
        <scheme val="minor"/>
      </rPr>
      <t>=CONCAT(cell1, delimiter, cell2)</t>
    </r>
    <r>
      <rPr>
        <sz val="11"/>
        <color theme="1"/>
        <rFont val="Calibri"/>
        <family val="2"/>
        <scheme val="minor"/>
      </rPr>
      <t xml:space="preserve">
Note: Delimiters are spacing or symbols used to seperate content elements apart from each other. Examples: comma , semicolon ; quotes " or ' braces {} pipes | slashes / \ inside of quotation marks to create a delimiter (" ")</t>
    </r>
  </si>
  <si>
    <r>
      <rPr>
        <b/>
        <sz val="11"/>
        <color theme="1"/>
        <rFont val="Calibri"/>
        <family val="2"/>
        <scheme val="minor"/>
      </rPr>
      <t>AVERAGE</t>
    </r>
    <r>
      <rPr>
        <sz val="11"/>
        <color theme="1"/>
        <rFont val="Calibri"/>
        <family val="2"/>
        <scheme val="minor"/>
      </rPr>
      <t xml:space="preserve"> function is a premade function in Excel, which calculates the average (arithmetic mean).</t>
    </r>
    <r>
      <rPr>
        <b/>
        <sz val="11"/>
        <color theme="1"/>
        <rFont val="Calibri"/>
        <family val="2"/>
        <scheme val="minor"/>
      </rPr>
      <t xml:space="preserve"> It adds the range and divides it by the count number.</t>
    </r>
    <r>
      <rPr>
        <sz val="11"/>
        <color theme="1"/>
        <rFont val="Calibri"/>
        <family val="2"/>
        <scheme val="minor"/>
      </rPr>
      <t xml:space="preserve"> Example: sum of the observations (2 + 3 + 4 = 9)/3 = 3
The function ignores cells with text and completes the calculation with numbers only. =AVERAGE(range)</t>
    </r>
  </si>
  <si>
    <r>
      <rPr>
        <b/>
        <sz val="11"/>
        <color theme="1"/>
        <rFont val="Calibri"/>
        <family val="2"/>
        <scheme val="minor"/>
      </rPr>
      <t xml:space="preserve">COUNT </t>
    </r>
    <r>
      <rPr>
        <sz val="11"/>
        <color theme="1"/>
        <rFont val="Calibri"/>
        <family val="2"/>
        <scheme val="minor"/>
      </rPr>
      <t xml:space="preserve">function is a premade function in Excel, which counts cells with numbers in a range. Example: </t>
    </r>
    <r>
      <rPr>
        <b/>
        <sz val="11"/>
        <color theme="1"/>
        <rFont val="Calibri"/>
        <family val="2"/>
        <scheme val="minor"/>
      </rPr>
      <t>=COUNT(A2:A20)</t>
    </r>
  </si>
  <si>
    <r>
      <rPr>
        <b/>
        <sz val="11"/>
        <color theme="1"/>
        <rFont val="Calibri"/>
        <family val="2"/>
        <scheme val="minor"/>
      </rPr>
      <t>COUNTA</t>
    </r>
    <r>
      <rPr>
        <sz val="11"/>
        <color theme="1"/>
        <rFont val="Calibri"/>
        <family val="2"/>
        <scheme val="minor"/>
      </rPr>
      <t xml:space="preserve"> function is a premade function in Excel, which counts all cells in a range that has values, both numbers and letters. Example: </t>
    </r>
    <r>
      <rPr>
        <b/>
        <sz val="11"/>
        <color theme="1"/>
        <rFont val="Calibri"/>
        <family val="2"/>
        <scheme val="minor"/>
      </rPr>
      <t>=COUNTA(A2:B20)</t>
    </r>
  </si>
  <si>
    <t xml:space="preserve">Note: The COUNT function only counts cells with numbers, not cells with letters. The COUNTA function is better used if the cells have letters. </t>
  </si>
  <si>
    <r>
      <rPr>
        <b/>
        <sz val="11"/>
        <color theme="1"/>
        <rFont val="Calibri"/>
        <family val="2"/>
        <scheme val="minor"/>
      </rPr>
      <t>COUNTBLANK</t>
    </r>
    <r>
      <rPr>
        <sz val="11"/>
        <color theme="1"/>
        <rFont val="Calibri"/>
        <family val="2"/>
        <scheme val="minor"/>
      </rPr>
      <t xml:space="preserve"> function is a premade function in Excel, which counts blank cells in a range. Example:</t>
    </r>
    <r>
      <rPr>
        <b/>
        <sz val="11"/>
        <color theme="1"/>
        <rFont val="Calibri"/>
        <family val="2"/>
        <scheme val="minor"/>
      </rPr>
      <t xml:space="preserve"> =COUNTBLANK(A2:A20)</t>
    </r>
  </si>
  <si>
    <t>COUNT</t>
  </si>
  <si>
    <t>COUNTA</t>
  </si>
  <si>
    <t xml:space="preserve">COUNTIF </t>
  </si>
  <si>
    <t>=COUNTBLANK(A55:A64)</t>
  </si>
  <si>
    <t>=COUNT(B31:B50)</t>
  </si>
  <si>
    <t>COUNT function only counts cells with numbers, not cells with letters.</t>
  </si>
  <si>
    <t xml:space="preserve">COUNTA function is better used if the cells have letters </t>
  </si>
  <si>
    <t>Count function doesnot work with letters</t>
  </si>
  <si>
    <t>=COUNTA(B31:C50)</t>
  </si>
  <si>
    <t>Add multiple cells without adding any delimiters between the combined cell values. Cell values can be both texts and/or numbers</t>
  </si>
  <si>
    <t>CONCAT Function: =CONCAT(cell1, delimiter, cell2)</t>
  </si>
  <si>
    <t xml:space="preserve">TRIM: =TRIM(cell) </t>
  </si>
  <si>
    <t>=COUNTIF(B$31:B$50,K54)</t>
  </si>
  <si>
    <r>
      <rPr>
        <b/>
        <sz val="11"/>
        <color theme="1"/>
        <rFont val="Calibri"/>
        <family val="2"/>
        <scheme val="minor"/>
      </rPr>
      <t>COUNTIF</t>
    </r>
    <r>
      <rPr>
        <sz val="11"/>
        <color theme="1"/>
        <rFont val="Calibri"/>
        <family val="2"/>
        <scheme val="minor"/>
      </rPr>
      <t xml:space="preserve"> function can have basic or more advanced uses to count cells as specified criteria. This covers the basic use for how to count specific numbers (e.g. 90) and words (e.g. "water").</t>
    </r>
    <r>
      <rPr>
        <b/>
        <sz val="11"/>
        <color theme="1"/>
        <rFont val="Calibri"/>
        <family val="2"/>
        <scheme val="minor"/>
      </rPr>
      <t xml:space="preserve"> =COUNTIF(range, criteria)</t>
    </r>
  </si>
  <si>
    <t>IF function</t>
  </si>
  <si>
    <t>=COUNTIF(cell:range,"&gt;400")</t>
  </si>
  <si>
    <r>
      <rPr>
        <b/>
        <sz val="11"/>
        <color theme="1"/>
        <rFont val="Calibri"/>
        <family val="2"/>
        <scheme val="minor"/>
      </rPr>
      <t>=COUNTIF(B$31:B$50,K54):</t>
    </r>
    <r>
      <rPr>
        <sz val="11"/>
        <color theme="1"/>
        <rFont val="Calibri"/>
        <family val="2"/>
        <scheme val="minor"/>
      </rPr>
      <t xml:space="preserve"> Range references should be</t>
    </r>
    <r>
      <rPr>
        <b/>
        <sz val="11"/>
        <color theme="1"/>
        <rFont val="Calibri"/>
        <family val="2"/>
        <scheme val="minor"/>
      </rPr>
      <t xml:space="preserve"> $ absolute</t>
    </r>
    <r>
      <rPr>
        <sz val="11"/>
        <color theme="1"/>
        <rFont val="Calibri"/>
        <family val="2"/>
        <scheme val="minor"/>
      </rPr>
      <t xml:space="preserve"> because if the references for the range are kept relative, the fill function will move the range downwards, including blank cells and missing the range where the data is.</t>
    </r>
  </si>
  <si>
    <r>
      <rPr>
        <b/>
        <sz val="11"/>
        <color theme="1"/>
        <rFont val="Calibri"/>
        <family val="2"/>
        <scheme val="minor"/>
      </rPr>
      <t>IF</t>
    </r>
    <r>
      <rPr>
        <sz val="11"/>
        <color theme="1"/>
        <rFont val="Calibri"/>
        <family val="2"/>
        <scheme val="minor"/>
      </rPr>
      <t xml:space="preserve"> function is a premade function in Excel, which returns values based on a true or false condition. </t>
    </r>
    <r>
      <rPr>
        <b/>
        <sz val="11"/>
        <color theme="1"/>
        <rFont val="Calibri"/>
        <family val="2"/>
        <scheme val="minor"/>
      </rPr>
      <t>=IF(logical_test, [value_if_true], [value_if_false])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</si>
</sst>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
    <numFmt numFmtId="165" formatCode="_(&quot;$&quot;* #,##0_);_(&quot;$&quot;* \(#,##0\);_(&quot;$&quot;* &quot;-&quot;??_);_(@_)"/>
  </numFmts>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FF"/>
        <bgColor indexed="64"/>
      </patternFill>
    </fill>
    <fill>
      <patternFill patternType="solid">
        <fgColor theme="8" tint="0.79998168889431442"/>
        <bgColor indexed="64"/>
      </patternFill>
    </fill>
    <fill>
      <patternFill patternType="solid">
        <fgColor rgb="FF99FFCC"/>
        <bgColor indexed="64"/>
      </patternFill>
    </fill>
    <fill>
      <patternFill patternType="solid">
        <fgColor rgb="FFCCFFCC"/>
        <bgColor indexed="64"/>
      </patternFill>
    </fill>
    <fill>
      <patternFill patternType="solid">
        <fgColor rgb="FF99FF99"/>
        <bgColor indexed="64"/>
      </patternFill>
    </fill>
    <fill>
      <patternFill patternType="solid">
        <fgColor theme="9" tint="0.79998168889431442"/>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44" fontId="11" fillId="0" borderId="0" applyFont="0" applyFill="0" applyBorder="0" applyAlignment="0" applyProtection="0"/>
  </cellStyleXfs>
  <cellXfs count="274">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0" fillId="0" borderId="37" xfId="0" applyBorder="1"/>
    <xf numFmtId="0" fontId="0" fillId="3" borderId="51" xfId="0" applyFill="1" applyBorder="1"/>
    <xf numFmtId="0" fontId="0" fillId="3" borderId="52" xfId="0" applyFill="1" applyBorder="1"/>
    <xf numFmtId="0" fontId="0" fillId="3" borderId="53" xfId="0" applyFill="1" applyBorder="1"/>
    <xf numFmtId="164" fontId="0" fillId="3" borderId="8" xfId="0" applyNumberFormat="1" applyFill="1" applyBorder="1"/>
    <xf numFmtId="0" fontId="1" fillId="3" borderId="15" xfId="0" applyFont="1" applyFill="1" applyBorder="1"/>
    <xf numFmtId="0" fontId="1" fillId="3" borderId="17" xfId="0" applyFont="1" applyFill="1" applyBorder="1"/>
    <xf numFmtId="0" fontId="0" fillId="0" borderId="40" xfId="0" applyBorder="1" applyAlignment="1">
      <alignment horizontal="center" vertical="center"/>
    </xf>
    <xf numFmtId="0" fontId="1" fillId="0" borderId="2" xfId="0" applyFont="1" applyBorder="1" applyAlignment="1">
      <alignment horizontal="left" vertical="center" wrapText="1"/>
    </xf>
    <xf numFmtId="0" fontId="0" fillId="0" borderId="54" xfId="0" applyBorder="1"/>
    <xf numFmtId="0" fontId="0" fillId="0" borderId="55" xfId="0" applyBorder="1"/>
    <xf numFmtId="0" fontId="0" fillId="0" borderId="56" xfId="0" applyBorder="1"/>
    <xf numFmtId="0" fontId="0" fillId="0" borderId="25" xfId="0" applyBorder="1"/>
    <xf numFmtId="0" fontId="1" fillId="3" borderId="12" xfId="0" applyFont="1" applyFill="1" applyBorder="1"/>
    <xf numFmtId="165" fontId="0" fillId="0" borderId="14" xfId="1" applyNumberFormat="1" applyFont="1" applyBorder="1"/>
    <xf numFmtId="165" fontId="0" fillId="0" borderId="16" xfId="0" applyNumberFormat="1" applyBorder="1"/>
    <xf numFmtId="165" fontId="0" fillId="0" borderId="19" xfId="0" applyNumberFormat="1" applyBorder="1"/>
    <xf numFmtId="0" fontId="0" fillId="0" borderId="15" xfId="0" applyBorder="1" applyAlignment="1">
      <alignment vertical="center"/>
    </xf>
    <xf numFmtId="0" fontId="0" fillId="0" borderId="17" xfId="0" applyBorder="1" applyAlignment="1">
      <alignment vertical="center"/>
    </xf>
    <xf numFmtId="0" fontId="0" fillId="0" borderId="39" xfId="0" applyBorder="1" applyAlignment="1">
      <alignment horizontal="left" vertical="center"/>
    </xf>
    <xf numFmtId="0" fontId="0" fillId="0" borderId="12" xfId="0" applyBorder="1" applyAlignment="1">
      <alignment vertical="center"/>
    </xf>
    <xf numFmtId="0" fontId="0" fillId="6" borderId="20" xfId="0" applyFill="1" applyBorder="1"/>
    <xf numFmtId="0" fontId="0" fillId="6" borderId="21" xfId="0" applyFill="1" applyBorder="1"/>
    <xf numFmtId="0" fontId="0" fillId="6" borderId="47" xfId="0" applyFill="1" applyBorder="1"/>
    <xf numFmtId="0" fontId="1" fillId="0" borderId="45" xfId="0" applyFont="1" applyBorder="1" applyAlignment="1">
      <alignment horizontal="left" vertical="center"/>
    </xf>
    <xf numFmtId="0" fontId="1" fillId="0" borderId="2" xfId="0" applyFont="1" applyBorder="1" applyAlignment="1">
      <alignment horizontal="center" vertical="center"/>
    </xf>
    <xf numFmtId="0" fontId="1" fillId="6" borderId="52" xfId="0" quotePrefix="1" applyFont="1" applyFill="1" applyBorder="1" applyAlignment="1">
      <alignment horizontal="center" vertical="center"/>
    </xf>
    <xf numFmtId="0" fontId="1" fillId="0" borderId="51" xfId="0" applyFont="1" applyBorder="1" applyAlignment="1">
      <alignment horizontal="left" vertical="center"/>
    </xf>
    <xf numFmtId="0" fontId="0" fillId="0" borderId="45" xfId="0" applyBorder="1" applyAlignment="1">
      <alignment horizontal="left" vertical="center"/>
    </xf>
    <xf numFmtId="0" fontId="1" fillId="5" borderId="52" xfId="0" quotePrefix="1" applyFont="1" applyFill="1" applyBorder="1" applyAlignment="1">
      <alignment horizontal="center" vertical="center"/>
    </xf>
    <xf numFmtId="0" fontId="1" fillId="0" borderId="2" xfId="0" applyFont="1" applyBorder="1" applyAlignment="1">
      <alignment horizontal="left" vertical="center"/>
    </xf>
    <xf numFmtId="0" fontId="0" fillId="5" borderId="51" xfId="0" applyFill="1" applyBorder="1"/>
    <xf numFmtId="0" fontId="0" fillId="5" borderId="21" xfId="0" applyFill="1" applyBorder="1"/>
    <xf numFmtId="0" fontId="0" fillId="5" borderId="53" xfId="0" applyFill="1" applyBorder="1"/>
    <xf numFmtId="0" fontId="0" fillId="0" borderId="0" xfId="0" quotePrefix="1" applyAlignment="1">
      <alignment vertical="center" wrapText="1"/>
    </xf>
    <xf numFmtId="0" fontId="0" fillId="0" borderId="0" xfId="0" applyAlignment="1">
      <alignment vertical="center"/>
    </xf>
    <xf numFmtId="0" fontId="1" fillId="0" borderId="2" xfId="0" quotePrefix="1" applyFont="1" applyBorder="1" applyAlignment="1">
      <alignment vertical="center"/>
    </xf>
    <xf numFmtId="0" fontId="0" fillId="5" borderId="11" xfId="0" applyFill="1" applyBorder="1" applyAlignment="1">
      <alignment horizontal="center" vertical="center"/>
    </xf>
    <xf numFmtId="0" fontId="0" fillId="5" borderId="41" xfId="0" applyFill="1" applyBorder="1" applyAlignment="1">
      <alignment horizontal="center" vertical="center"/>
    </xf>
    <xf numFmtId="0" fontId="0" fillId="0" borderId="36" xfId="0" applyBorder="1" applyAlignment="1">
      <alignment vertical="center"/>
    </xf>
    <xf numFmtId="0" fontId="0" fillId="5" borderId="46" xfId="0" applyFill="1" applyBorder="1" applyAlignment="1">
      <alignment horizontal="center" vertical="center"/>
    </xf>
    <xf numFmtId="0" fontId="0" fillId="6" borderId="20" xfId="0" applyFill="1" applyBorder="1" applyAlignment="1">
      <alignment horizontal="center" vertical="center"/>
    </xf>
    <xf numFmtId="0" fontId="0" fillId="6" borderId="48" xfId="0" applyFill="1" applyBorder="1" applyAlignment="1">
      <alignment horizontal="center" vertical="center"/>
    </xf>
    <xf numFmtId="0" fontId="0" fillId="6" borderId="53" xfId="0" applyFill="1" applyBorder="1" applyAlignment="1">
      <alignment horizontal="center" vertical="center"/>
    </xf>
    <xf numFmtId="0" fontId="1" fillId="0" borderId="51" xfId="0" applyFont="1" applyBorder="1" applyAlignment="1">
      <alignment horizontal="center" vertical="center"/>
    </xf>
    <xf numFmtId="0" fontId="1" fillId="7" borderId="51" xfId="0" quotePrefix="1" applyFont="1" applyFill="1" applyBorder="1" applyAlignment="1">
      <alignment horizontal="center" vertical="center"/>
    </xf>
    <xf numFmtId="0" fontId="0" fillId="0" borderId="5" xfId="0" applyBorder="1" applyAlignment="1">
      <alignment horizontal="center" vertical="center"/>
    </xf>
    <xf numFmtId="0" fontId="0" fillId="7" borderId="57" xfId="0" applyFill="1"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7" borderId="58" xfId="0" applyFill="1" applyBorder="1" applyAlignment="1">
      <alignment horizontal="center" vertical="center"/>
    </xf>
    <xf numFmtId="0" fontId="0" fillId="0" borderId="18" xfId="0" applyBorder="1" applyAlignment="1">
      <alignment horizontal="center" vertical="center"/>
    </xf>
    <xf numFmtId="0" fontId="0" fillId="0" borderId="56" xfId="0" applyBorder="1" applyAlignment="1">
      <alignment horizontal="left" vertical="center"/>
    </xf>
    <xf numFmtId="0" fontId="0" fillId="0" borderId="25" xfId="0" applyBorder="1" applyAlignment="1">
      <alignment horizontal="center" vertical="center"/>
    </xf>
    <xf numFmtId="0" fontId="1" fillId="0" borderId="38" xfId="0" applyFont="1" applyBorder="1"/>
    <xf numFmtId="0" fontId="0" fillId="0" borderId="39" xfId="0" applyBorder="1"/>
    <xf numFmtId="0" fontId="0" fillId="0" borderId="40" xfId="0" applyBorder="1"/>
    <xf numFmtId="0" fontId="0" fillId="7" borderId="59" xfId="0" applyFill="1" applyBorder="1" applyAlignment="1">
      <alignment horizontal="center" vertical="center"/>
    </xf>
    <xf numFmtId="0" fontId="0" fillId="0" borderId="60" xfId="0" applyBorder="1" applyAlignment="1">
      <alignment horizontal="center" vertical="center"/>
    </xf>
    <xf numFmtId="0" fontId="0" fillId="0" borderId="38" xfId="0" applyBorder="1"/>
    <xf numFmtId="0" fontId="0" fillId="0" borderId="12" xfId="0" applyBorder="1"/>
    <xf numFmtId="0" fontId="1" fillId="8" borderId="40" xfId="0" applyFont="1" applyFill="1" applyBorder="1" applyAlignment="1">
      <alignment horizontal="center" vertical="center"/>
    </xf>
    <xf numFmtId="0" fontId="1" fillId="0" borderId="42" xfId="0" quotePrefix="1" applyFont="1" applyBorder="1" applyAlignment="1">
      <alignment horizontal="center" vertical="center"/>
    </xf>
    <xf numFmtId="0" fontId="0" fillId="8" borderId="16" xfId="0" applyFill="1" applyBorder="1" applyAlignment="1">
      <alignment horizontal="center" vertical="center"/>
    </xf>
    <xf numFmtId="0" fontId="0" fillId="8" borderId="19" xfId="0" applyFill="1" applyBorder="1" applyAlignment="1">
      <alignment horizontal="center" vertical="center"/>
    </xf>
    <xf numFmtId="0" fontId="1" fillId="0" borderId="3" xfId="0" applyFont="1" applyBorder="1"/>
    <xf numFmtId="0" fontId="1" fillId="0" borderId="4" xfId="0" applyFont="1" applyBorder="1"/>
    <xf numFmtId="0" fontId="1" fillId="0" borderId="5" xfId="0" applyFont="1" applyBorder="1"/>
    <xf numFmtId="0" fontId="0" fillId="0" borderId="1" xfId="0" applyBorder="1" applyAlignment="1">
      <alignment horizontal="center"/>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2" xfId="0" applyBorder="1" applyAlignment="1">
      <alignment horizontal="left" vertical="center" wrapText="1"/>
    </xf>
    <xf numFmtId="0" fontId="0" fillId="0" borderId="24" xfId="0" applyBorder="1" applyAlignment="1">
      <alignment horizontal="left" vertical="center" wrapText="1"/>
    </xf>
    <xf numFmtId="0" fontId="0" fillId="0" borderId="23" xfId="0"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0" fillId="3" borderId="8" xfId="0" applyFill="1" applyBorder="1" applyAlignment="1">
      <alignment horizontal="left" vertical="center" wrapText="1"/>
    </xf>
    <xf numFmtId="0" fontId="8" fillId="0" borderId="15" xfId="0"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0" borderId="26" xfId="0" applyBorder="1" applyAlignment="1">
      <alignment horizontal="left" vertical="center" wrapText="1"/>
    </xf>
    <xf numFmtId="0" fontId="0" fillId="0" borderId="15" xfId="0" quotePrefix="1" applyBorder="1" applyAlignment="1">
      <alignment horizontal="left" vertical="center" wrapText="1"/>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1" fillId="0" borderId="0" xfId="0" applyFont="1" applyAlignment="1">
      <alignment horizontal="left" vertical="center"/>
    </xf>
    <xf numFmtId="0" fontId="0" fillId="0" borderId="0" xfId="0" applyAlignment="1">
      <alignment horizontal="center"/>
    </xf>
    <xf numFmtId="0" fontId="0" fillId="0" borderId="0" xfId="0" applyAlignment="1">
      <alignment horizontal="left" vertical="center"/>
    </xf>
    <xf numFmtId="0" fontId="12" fillId="0" borderId="0" xfId="0" applyFont="1" applyAlignment="1">
      <alignment horizontal="left" vertical="center"/>
    </xf>
    <xf numFmtId="0" fontId="0" fillId="0" borderId="0" xfId="0"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0" borderId="0" xfId="0" applyFont="1" applyAlignment="1">
      <alignment horizontal="center"/>
    </xf>
    <xf numFmtId="0" fontId="10" fillId="0" borderId="0" xfId="0" applyFont="1" applyAlignment="1">
      <alignment horizontal="left" vertical="center"/>
    </xf>
    <xf numFmtId="0" fontId="1" fillId="0" borderId="0" xfId="0" applyFont="1" applyAlignment="1">
      <alignment horizontal="left"/>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3" borderId="0" xfId="0" applyFill="1" applyAlignment="1">
      <alignment horizontal="left" vertical="center"/>
    </xf>
    <xf numFmtId="0" fontId="4" fillId="0" borderId="0" xfId="0" applyFont="1" applyAlignment="1">
      <alignment horizontal="center"/>
    </xf>
    <xf numFmtId="0" fontId="0" fillId="0" borderId="0" xfId="0" applyFont="1"/>
    <xf numFmtId="0" fontId="1" fillId="0" borderId="51" xfId="0" quotePrefix="1" applyFont="1" applyBorder="1" applyAlignment="1">
      <alignment vertical="center"/>
    </xf>
    <xf numFmtId="0" fontId="0" fillId="0" borderId="61" xfId="0" applyBorder="1"/>
    <xf numFmtId="0" fontId="0" fillId="0" borderId="0" xfId="0" applyBorder="1"/>
    <xf numFmtId="0" fontId="0" fillId="0" borderId="59" xfId="0" applyBorder="1"/>
    <xf numFmtId="0" fontId="0" fillId="0" borderId="62" xfId="0" applyBorder="1"/>
    <xf numFmtId="0" fontId="0" fillId="0" borderId="63" xfId="0" applyBorder="1"/>
    <xf numFmtId="0" fontId="0" fillId="0" borderId="64" xfId="0" applyBorder="1"/>
    <xf numFmtId="0" fontId="0" fillId="0" borderId="52" xfId="0" applyBorder="1"/>
    <xf numFmtId="0" fontId="0" fillId="0" borderId="53" xfId="0" applyBorder="1"/>
    <xf numFmtId="0" fontId="0" fillId="0" borderId="6" xfId="0" applyBorder="1"/>
    <xf numFmtId="0" fontId="0" fillId="0" borderId="3" xfId="0" applyBorder="1" applyAlignment="1">
      <alignment horizontal="center"/>
    </xf>
    <xf numFmtId="0" fontId="0" fillId="0" borderId="5" xfId="0" applyBorder="1" applyAlignment="1">
      <alignment horizont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2" xfId="0" quotePrefix="1" applyBorder="1" applyAlignment="1">
      <alignment horizontal="left" vertical="center"/>
    </xf>
    <xf numFmtId="0" fontId="0" fillId="0" borderId="6" xfId="0" applyBorder="1" applyAlignment="1">
      <alignment horizontal="left" vertical="center" wrapText="1"/>
    </xf>
    <xf numFmtId="0" fontId="0" fillId="0" borderId="10" xfId="0" applyBorder="1" applyAlignment="1">
      <alignment horizontal="left" vertical="center" wrapText="1"/>
    </xf>
    <xf numFmtId="0" fontId="0" fillId="0" borderId="62" xfId="0" applyBorder="1" applyAlignment="1">
      <alignment horizontal="left" vertical="center" wrapText="1"/>
    </xf>
    <xf numFmtId="0" fontId="0" fillId="0" borderId="64" xfId="0" applyBorder="1" applyAlignment="1">
      <alignment horizontal="left" vertical="center" wrapText="1"/>
    </xf>
    <xf numFmtId="0" fontId="0" fillId="0" borderId="3" xfId="0" applyBorder="1" applyAlignment="1">
      <alignment horizontal="left" vertical="center"/>
    </xf>
    <xf numFmtId="0" fontId="0" fillId="0" borderId="5" xfId="0" applyBorder="1" applyAlignment="1">
      <alignment horizontal="left" vertical="center"/>
    </xf>
    <xf numFmtId="0" fontId="0" fillId="0" borderId="61" xfId="0" quotePrefix="1" applyBorder="1" applyAlignment="1">
      <alignment horizontal="left" vertical="center"/>
    </xf>
    <xf numFmtId="0" fontId="1" fillId="0" borderId="62" xfId="0" applyFont="1" applyBorder="1" applyAlignment="1"/>
    <xf numFmtId="0" fontId="1" fillId="0" borderId="64" xfId="0" applyFont="1" applyBorder="1" applyAlignment="1"/>
    <xf numFmtId="0" fontId="0" fillId="0" borderId="6" xfId="0" applyFont="1" applyBorder="1"/>
    <xf numFmtId="0" fontId="0" fillId="0" borderId="61" xfId="0" applyFont="1" applyBorder="1"/>
    <xf numFmtId="0" fontId="0" fillId="0" borderId="62" xfId="0" applyFont="1" applyBorder="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xf numFmtId="0" fontId="1" fillId="9" borderId="3" xfId="0" applyFont="1" applyFill="1" applyBorder="1" applyAlignment="1">
      <alignment horizontal="center" vertical="center"/>
    </xf>
    <xf numFmtId="0" fontId="1" fillId="9" borderId="4" xfId="0" applyFont="1" applyFill="1" applyBorder="1" applyAlignment="1">
      <alignment horizontal="center" vertical="center"/>
    </xf>
    <xf numFmtId="0" fontId="1" fillId="9" borderId="5" xfId="0" applyFont="1" applyFill="1" applyBorder="1" applyAlignment="1">
      <alignment horizontal="center" vertical="center"/>
    </xf>
    <xf numFmtId="0" fontId="1" fillId="10" borderId="3" xfId="0" applyFont="1" applyFill="1" applyBorder="1" applyAlignment="1">
      <alignment horizontal="center"/>
    </xf>
    <xf numFmtId="0" fontId="1" fillId="10" borderId="5" xfId="0" applyFont="1" applyFill="1" applyBorder="1" applyAlignment="1">
      <alignment horizontal="center"/>
    </xf>
    <xf numFmtId="0" fontId="1" fillId="11" borderId="3" xfId="0" applyFont="1" applyFill="1" applyBorder="1" applyAlignment="1">
      <alignment horizontal="left"/>
    </xf>
    <xf numFmtId="0" fontId="1" fillId="11" borderId="4" xfId="0" applyFont="1" applyFill="1" applyBorder="1" applyAlignment="1">
      <alignment horizontal="left"/>
    </xf>
    <xf numFmtId="0" fontId="1" fillId="11" borderId="5" xfId="0" applyFont="1" applyFill="1" applyBorder="1" applyAlignment="1">
      <alignment horizontal="left"/>
    </xf>
    <xf numFmtId="0" fontId="1" fillId="10" borderId="5" xfId="0" quotePrefix="1" applyFont="1" applyFill="1" applyBorder="1" applyAlignment="1">
      <alignment horizontal="center" vertical="center"/>
    </xf>
    <xf numFmtId="0" fontId="1" fillId="10" borderId="2" xfId="0" applyFont="1" applyFill="1" applyBorder="1" applyAlignment="1">
      <alignment horizontal="center" vertical="center"/>
    </xf>
    <xf numFmtId="0" fontId="0" fillId="0" borderId="51" xfId="0" applyBorder="1"/>
    <xf numFmtId="0" fontId="1" fillId="10" borderId="3" xfId="0" quotePrefix="1" applyFont="1" applyFill="1" applyBorder="1" applyAlignment="1">
      <alignment horizontal="center"/>
    </xf>
    <xf numFmtId="0" fontId="0" fillId="0" borderId="4" xfId="0" applyBorder="1" applyAlignment="1">
      <alignment horizontal="center"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3" borderId="15" xfId="0" quotePrefix="1" applyFill="1" applyBorder="1" applyAlignment="1">
      <alignment horizontal="left" vertical="center" wrapText="1"/>
    </xf>
    <xf numFmtId="0" fontId="0" fillId="0" borderId="10" xfId="0" applyBorder="1" applyAlignment="1">
      <alignment horizontal="center" vertical="center"/>
    </xf>
    <xf numFmtId="0" fontId="0" fillId="0" borderId="59" xfId="0" applyBorder="1" applyAlignment="1">
      <alignment horizontal="center" vertical="center"/>
    </xf>
    <xf numFmtId="0" fontId="0" fillId="0" borderId="64" xfId="0" applyBorder="1" applyAlignment="1">
      <alignment horizontal="center" vertical="center"/>
    </xf>
    <xf numFmtId="0" fontId="1" fillId="12" borderId="2" xfId="0" applyFont="1" applyFill="1" applyBorder="1" applyAlignment="1">
      <alignment horizontal="center" vertical="center"/>
    </xf>
  </cellXfs>
  <cellStyles count="2">
    <cellStyle name="Currency" xfId="1" builtinId="4"/>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CCFFCC"/>
      <color rgb="FFFFFFCC"/>
      <color rgb="FF99FF99"/>
      <color rgb="FF99FFCC"/>
      <color rgb="FF66FF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525-4DB7-968D-AC61223457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525-4DB7-968D-AC61223457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525-4DB7-968D-AC612234574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525-4DB7-968D-AC612234574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525-4DB7-968D-AC612234574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525-4DB7-968D-AC612234574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525-4DB7-968D-AC612234574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525-4DB7-968D-AC612234574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525-4DB7-968D-AC612234574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525-4DB7-968D-AC612234574A}"/>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525-4DB7-968D-AC612234574A}"/>
              </c:ext>
            </c:extLst>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9</xdr:row>
      <xdr:rowOff>153050</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6344</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56979</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25</xdr:row>
      <xdr:rowOff>770283</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32399</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8281</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35</xdr:row>
      <xdr:rowOff>546652</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39601</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681403</xdr:colOff>
      <xdr:row>38</xdr:row>
      <xdr:rowOff>447260</xdr:rowOff>
    </xdr:from>
    <xdr:to>
      <xdr:col>12</xdr:col>
      <xdr:colOff>952499</xdr:colOff>
      <xdr:row>45</xdr:row>
      <xdr:rowOff>182216</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533816" y="11090412"/>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166" t="s">
        <v>0</v>
      </c>
      <c r="C2" s="166"/>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sheetPr>
    <tabColor rgb="FFFFFF00"/>
  </sheetPr>
  <dimension ref="A1:N72"/>
  <sheetViews>
    <sheetView topLeftCell="A55" zoomScale="115" zoomScaleNormal="115" workbookViewId="0">
      <selection activeCell="B68" sqref="B68:N68"/>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195" t="s">
        <v>84</v>
      </c>
      <c r="B1" s="196"/>
      <c r="C1" s="197"/>
    </row>
    <row r="2" spans="1:14" ht="17.25" customHeight="1" x14ac:dyDescent="0.25">
      <c r="A2" s="24">
        <v>1</v>
      </c>
      <c r="B2" s="198" t="s">
        <v>71</v>
      </c>
      <c r="C2" s="199"/>
      <c r="D2" s="199"/>
      <c r="E2" s="199"/>
      <c r="F2" s="199"/>
      <c r="G2" s="199"/>
      <c r="H2" s="199"/>
      <c r="I2" s="199"/>
      <c r="J2" s="199"/>
      <c r="K2" s="199"/>
      <c r="L2" s="199"/>
      <c r="M2" s="199"/>
      <c r="N2" s="200"/>
    </row>
    <row r="3" spans="1:14" ht="15" x14ac:dyDescent="0.25">
      <c r="A3" s="25">
        <v>2</v>
      </c>
      <c r="B3" s="167" t="s">
        <v>68</v>
      </c>
      <c r="C3" s="168"/>
      <c r="D3" s="168"/>
      <c r="E3" s="168"/>
      <c r="F3" s="168"/>
      <c r="G3" s="168"/>
      <c r="H3" s="168"/>
      <c r="I3" s="168"/>
      <c r="J3" s="168"/>
      <c r="K3" s="168"/>
      <c r="L3" s="168"/>
      <c r="M3" s="168"/>
      <c r="N3" s="169"/>
    </row>
    <row r="4" spans="1:14" ht="15" x14ac:dyDescent="0.25">
      <c r="A4" s="25">
        <v>3</v>
      </c>
      <c r="B4" s="167" t="s">
        <v>69</v>
      </c>
      <c r="C4" s="168"/>
      <c r="D4" s="168"/>
      <c r="E4" s="168"/>
      <c r="F4" s="168"/>
      <c r="G4" s="168"/>
      <c r="H4" s="168"/>
      <c r="I4" s="168"/>
      <c r="J4" s="168"/>
      <c r="K4" s="168"/>
      <c r="L4" s="168"/>
      <c r="M4" s="168"/>
      <c r="N4" s="169"/>
    </row>
    <row r="5" spans="1:14" ht="21" customHeight="1" x14ac:dyDescent="0.25">
      <c r="A5" s="25">
        <v>4</v>
      </c>
      <c r="B5" s="185" t="s">
        <v>67</v>
      </c>
      <c r="C5" s="186"/>
      <c r="D5" s="186"/>
      <c r="E5" s="186"/>
      <c r="F5" s="186"/>
      <c r="G5" s="186"/>
      <c r="H5" s="186"/>
      <c r="I5" s="186"/>
      <c r="J5" s="186"/>
      <c r="K5" s="186"/>
      <c r="L5" s="186"/>
      <c r="M5" s="186"/>
      <c r="N5" s="187"/>
    </row>
    <row r="6" spans="1:14" ht="21" customHeight="1" x14ac:dyDescent="0.25">
      <c r="A6" s="25"/>
      <c r="B6" s="167"/>
      <c r="C6" s="168"/>
      <c r="D6" s="168"/>
      <c r="E6" s="168"/>
      <c r="F6" s="168"/>
      <c r="G6" s="168"/>
      <c r="H6" s="168"/>
      <c r="I6" s="168"/>
      <c r="J6" s="168"/>
      <c r="K6" s="168"/>
      <c r="L6" s="168"/>
      <c r="M6" s="168"/>
      <c r="N6" s="169"/>
    </row>
    <row r="7" spans="1:14" ht="20.25" customHeight="1" thickBot="1" x14ac:dyDescent="0.3">
      <c r="A7" s="25">
        <v>5</v>
      </c>
      <c r="B7" s="189" t="s">
        <v>70</v>
      </c>
      <c r="C7" s="190"/>
      <c r="D7" s="191"/>
      <c r="E7" s="190"/>
      <c r="F7" s="190"/>
      <c r="G7" s="190"/>
      <c r="H7" s="190"/>
      <c r="I7" s="190"/>
      <c r="J7" s="190"/>
      <c r="K7" s="190"/>
      <c r="L7" s="190"/>
      <c r="M7" s="190"/>
      <c r="N7" s="192"/>
    </row>
    <row r="8" spans="1:14" ht="17.25" customHeight="1" thickBot="1" x14ac:dyDescent="0.3">
      <c r="A8" s="25">
        <v>6</v>
      </c>
      <c r="B8" s="19" t="s">
        <v>90</v>
      </c>
      <c r="C8" s="21" t="s">
        <v>72</v>
      </c>
      <c r="D8" s="23">
        <f>1+1</f>
        <v>2</v>
      </c>
      <c r="E8" s="173" t="s">
        <v>73</v>
      </c>
      <c r="F8" s="174"/>
      <c r="G8" s="173"/>
      <c r="H8" s="173"/>
      <c r="I8" s="173"/>
      <c r="J8" s="173"/>
      <c r="K8" s="173"/>
      <c r="L8" s="173"/>
      <c r="M8" s="173"/>
      <c r="N8" s="175"/>
    </row>
    <row r="9" spans="1:14" ht="17.25" customHeight="1" thickBot="1" x14ac:dyDescent="0.3">
      <c r="A9" s="25">
        <v>7</v>
      </c>
      <c r="B9" s="17" t="s">
        <v>91</v>
      </c>
      <c r="C9" s="18" t="s">
        <v>74</v>
      </c>
      <c r="D9" s="22">
        <v>100</v>
      </c>
      <c r="E9" s="20">
        <v>25</v>
      </c>
      <c r="F9" s="23">
        <f>D9-E9</f>
        <v>75</v>
      </c>
      <c r="G9" s="173" t="s">
        <v>75</v>
      </c>
      <c r="H9" s="173"/>
      <c r="I9" s="173"/>
      <c r="J9" s="173"/>
      <c r="K9" s="173"/>
      <c r="L9" s="173"/>
      <c r="M9" s="173"/>
      <c r="N9" s="175"/>
    </row>
    <row r="10" spans="1:14" ht="17.25" customHeight="1" x14ac:dyDescent="0.25">
      <c r="A10" s="25">
        <v>8</v>
      </c>
      <c r="B10" s="185" t="s">
        <v>76</v>
      </c>
      <c r="C10" s="186"/>
      <c r="D10" s="186"/>
      <c r="E10" s="186"/>
      <c r="F10" s="188"/>
      <c r="G10" s="186"/>
      <c r="H10" s="186"/>
      <c r="I10" s="186"/>
      <c r="J10" s="186"/>
      <c r="K10" s="186"/>
      <c r="L10" s="186"/>
      <c r="M10" s="186"/>
      <c r="N10" s="187"/>
    </row>
    <row r="11" spans="1:14" ht="27.75" customHeight="1" x14ac:dyDescent="0.25">
      <c r="A11" s="25"/>
      <c r="B11" s="179" t="s">
        <v>87</v>
      </c>
      <c r="C11" s="180"/>
      <c r="D11" s="180"/>
      <c r="E11" s="180"/>
      <c r="F11" s="180"/>
      <c r="G11" s="180"/>
      <c r="H11" s="180"/>
      <c r="I11" s="180"/>
      <c r="J11" s="180"/>
      <c r="K11" s="180"/>
      <c r="L11" s="180"/>
      <c r="M11" s="180"/>
      <c r="N11" s="181"/>
    </row>
    <row r="12" spans="1:14" ht="17.25" customHeight="1" x14ac:dyDescent="0.25">
      <c r="A12" s="25"/>
      <c r="B12" s="167"/>
      <c r="C12" s="168"/>
      <c r="D12" s="168"/>
      <c r="E12" s="168"/>
      <c r="F12" s="168"/>
      <c r="G12" s="168"/>
      <c r="H12" s="168"/>
      <c r="I12" s="168"/>
      <c r="J12" s="168"/>
      <c r="K12" s="168"/>
      <c r="L12" s="168"/>
      <c r="M12" s="168"/>
      <c r="N12" s="169"/>
    </row>
    <row r="13" spans="1:14" ht="17.25" customHeight="1" x14ac:dyDescent="0.25">
      <c r="A13" s="25">
        <v>9</v>
      </c>
      <c r="B13" s="167" t="s">
        <v>77</v>
      </c>
      <c r="C13" s="168"/>
      <c r="D13" s="168"/>
      <c r="E13" s="168"/>
      <c r="F13" s="168"/>
      <c r="G13" s="168"/>
      <c r="H13" s="168"/>
      <c r="I13" s="168"/>
      <c r="J13" s="168"/>
      <c r="K13" s="168"/>
      <c r="L13" s="168"/>
      <c r="M13" s="168"/>
      <c r="N13" s="169"/>
    </row>
    <row r="14" spans="1:14" ht="17.25" customHeight="1" x14ac:dyDescent="0.25">
      <c r="A14" s="25">
        <v>10</v>
      </c>
      <c r="B14" s="167" t="s">
        <v>78</v>
      </c>
      <c r="C14" s="168"/>
      <c r="D14" s="168"/>
      <c r="E14" s="168"/>
      <c r="F14" s="168"/>
      <c r="G14" s="168"/>
      <c r="H14" s="168"/>
      <c r="I14" s="168"/>
      <c r="J14" s="168"/>
      <c r="K14" s="168"/>
      <c r="L14" s="168"/>
      <c r="M14" s="168"/>
      <c r="N14" s="169"/>
    </row>
    <row r="15" spans="1:14" ht="17.25" customHeight="1" x14ac:dyDescent="0.25">
      <c r="A15" s="25">
        <v>11</v>
      </c>
      <c r="B15" s="167" t="s">
        <v>79</v>
      </c>
      <c r="C15" s="168"/>
      <c r="D15" s="168"/>
      <c r="E15" s="168"/>
      <c r="F15" s="168"/>
      <c r="G15" s="168"/>
      <c r="H15" s="168"/>
      <c r="I15" s="168"/>
      <c r="J15" s="168"/>
      <c r="K15" s="168"/>
      <c r="L15" s="168"/>
      <c r="M15" s="168"/>
      <c r="N15" s="169"/>
    </row>
    <row r="16" spans="1:14" ht="47.25" customHeight="1" x14ac:dyDescent="0.25">
      <c r="A16" s="25">
        <v>12</v>
      </c>
      <c r="B16" s="167" t="s">
        <v>83</v>
      </c>
      <c r="C16" s="168"/>
      <c r="D16" s="168"/>
      <c r="E16" s="168"/>
      <c r="F16" s="168"/>
      <c r="G16" s="168"/>
      <c r="H16" s="168"/>
      <c r="I16" s="168"/>
      <c r="J16" s="168"/>
      <c r="K16" s="168"/>
      <c r="L16" s="168"/>
      <c r="M16" s="168"/>
      <c r="N16" s="169"/>
    </row>
    <row r="17" spans="1:14" ht="18" customHeight="1" x14ac:dyDescent="0.25">
      <c r="A17" s="25"/>
      <c r="B17" s="176"/>
      <c r="C17" s="177"/>
      <c r="D17" s="177"/>
      <c r="E17" s="177"/>
      <c r="F17" s="177"/>
      <c r="G17" s="177"/>
      <c r="H17" s="177"/>
      <c r="I17" s="177"/>
      <c r="J17" s="177"/>
      <c r="K17" s="177"/>
      <c r="L17" s="177"/>
      <c r="M17" s="177"/>
      <c r="N17" s="178"/>
    </row>
    <row r="18" spans="1:14" ht="17.25" customHeight="1" x14ac:dyDescent="0.25">
      <c r="A18" s="25">
        <v>13</v>
      </c>
      <c r="B18" s="182" t="s">
        <v>81</v>
      </c>
      <c r="C18" s="183"/>
      <c r="D18" s="183"/>
      <c r="E18" s="183"/>
      <c r="F18" s="183"/>
      <c r="G18" s="183"/>
      <c r="H18" s="183"/>
      <c r="I18" s="183"/>
      <c r="J18" s="183"/>
      <c r="K18" s="183"/>
      <c r="L18" s="183"/>
      <c r="M18" s="183"/>
      <c r="N18" s="184"/>
    </row>
    <row r="19" spans="1:14" ht="20.25" customHeight="1" x14ac:dyDescent="0.25">
      <c r="A19" s="25">
        <v>14</v>
      </c>
      <c r="B19" s="185" t="s">
        <v>80</v>
      </c>
      <c r="C19" s="186"/>
      <c r="D19" s="186"/>
      <c r="E19" s="186"/>
      <c r="F19" s="186"/>
      <c r="G19" s="186"/>
      <c r="H19" s="186"/>
      <c r="I19" s="186"/>
      <c r="J19" s="186"/>
      <c r="K19" s="186"/>
      <c r="L19" s="186"/>
      <c r="M19" s="186"/>
      <c r="N19" s="187"/>
    </row>
    <row r="20" spans="1:14" ht="17.25" customHeight="1" x14ac:dyDescent="0.25">
      <c r="A20" s="25">
        <v>15</v>
      </c>
      <c r="B20" s="167" t="s">
        <v>82</v>
      </c>
      <c r="C20" s="168"/>
      <c r="D20" s="168"/>
      <c r="E20" s="168"/>
      <c r="F20" s="168"/>
      <c r="G20" s="168"/>
      <c r="H20" s="168"/>
      <c r="I20" s="168"/>
      <c r="J20" s="168"/>
      <c r="K20" s="168"/>
      <c r="L20" s="168"/>
      <c r="M20" s="168"/>
      <c r="N20" s="169"/>
    </row>
    <row r="21" spans="1:14" ht="17.25" customHeight="1" x14ac:dyDescent="0.25">
      <c r="A21" s="25">
        <v>16</v>
      </c>
      <c r="B21" s="167" t="s">
        <v>85</v>
      </c>
      <c r="C21" s="168"/>
      <c r="D21" s="168"/>
      <c r="E21" s="168"/>
      <c r="F21" s="168"/>
      <c r="G21" s="168"/>
      <c r="H21" s="168"/>
      <c r="I21" s="168"/>
      <c r="J21" s="168"/>
      <c r="K21" s="168"/>
      <c r="L21" s="168"/>
      <c r="M21" s="168"/>
      <c r="N21" s="169"/>
    </row>
    <row r="22" spans="1:14" ht="17.25" customHeight="1" x14ac:dyDescent="0.25">
      <c r="A22" s="25">
        <v>17</v>
      </c>
      <c r="B22" s="167" t="s">
        <v>86</v>
      </c>
      <c r="C22" s="168"/>
      <c r="D22" s="168"/>
      <c r="E22" s="168"/>
      <c r="F22" s="168"/>
      <c r="G22" s="168"/>
      <c r="H22" s="168"/>
      <c r="I22" s="168"/>
      <c r="J22" s="168"/>
      <c r="K22" s="168"/>
      <c r="L22" s="168"/>
      <c r="M22" s="168"/>
      <c r="N22" s="169"/>
    </row>
    <row r="23" spans="1:14" ht="17.25" customHeight="1" x14ac:dyDescent="0.25">
      <c r="A23" s="25"/>
      <c r="B23" s="176"/>
      <c r="C23" s="177"/>
      <c r="D23" s="177"/>
      <c r="E23" s="177"/>
      <c r="F23" s="177"/>
      <c r="G23" s="177"/>
      <c r="H23" s="177"/>
      <c r="I23" s="177"/>
      <c r="J23" s="177"/>
      <c r="K23" s="177"/>
      <c r="L23" s="177"/>
      <c r="M23" s="177"/>
      <c r="N23" s="178"/>
    </row>
    <row r="24" spans="1:14" ht="17.25" customHeight="1" x14ac:dyDescent="0.25">
      <c r="A24" s="25">
        <v>18</v>
      </c>
      <c r="B24" s="167" t="s">
        <v>88</v>
      </c>
      <c r="C24" s="168"/>
      <c r="D24" s="168"/>
      <c r="E24" s="168"/>
      <c r="F24" s="168"/>
      <c r="G24" s="168"/>
      <c r="H24" s="168"/>
      <c r="I24" s="168"/>
      <c r="J24" s="168"/>
      <c r="K24" s="168"/>
      <c r="L24" s="168"/>
      <c r="M24" s="168"/>
      <c r="N24" s="169"/>
    </row>
    <row r="25" spans="1:14" ht="28.5" customHeight="1" x14ac:dyDescent="0.25">
      <c r="A25" s="25">
        <v>19</v>
      </c>
      <c r="B25" s="167" t="s">
        <v>94</v>
      </c>
      <c r="C25" s="168"/>
      <c r="D25" s="168"/>
      <c r="E25" s="168"/>
      <c r="F25" s="168"/>
      <c r="G25" s="168"/>
      <c r="H25" s="168"/>
      <c r="I25" s="168"/>
      <c r="J25" s="168"/>
      <c r="K25" s="168"/>
      <c r="L25" s="168"/>
      <c r="M25" s="168"/>
      <c r="N25" s="169"/>
    </row>
    <row r="26" spans="1:14" ht="63.75" customHeight="1" x14ac:dyDescent="0.25">
      <c r="A26" s="25">
        <v>20</v>
      </c>
      <c r="B26" s="167" t="s">
        <v>89</v>
      </c>
      <c r="C26" s="168"/>
      <c r="D26" s="168"/>
      <c r="E26" s="168"/>
      <c r="F26" s="168"/>
      <c r="G26" s="168"/>
      <c r="H26" s="168"/>
      <c r="I26" s="168"/>
      <c r="J26" s="168"/>
      <c r="K26" s="168"/>
      <c r="L26" s="168"/>
      <c r="M26" s="168"/>
      <c r="N26" s="169"/>
    </row>
    <row r="27" spans="1:14" ht="15.75" customHeight="1" x14ac:dyDescent="0.25">
      <c r="A27" s="25"/>
      <c r="B27" s="176"/>
      <c r="C27" s="177"/>
      <c r="D27" s="177"/>
      <c r="E27" s="177"/>
      <c r="F27" s="177"/>
      <c r="G27" s="177"/>
      <c r="H27" s="177"/>
      <c r="I27" s="177"/>
      <c r="J27" s="177"/>
      <c r="K27" s="177"/>
      <c r="L27" s="177"/>
      <c r="M27" s="177"/>
      <c r="N27" s="178"/>
    </row>
    <row r="28" spans="1:14" ht="17.25" customHeight="1" x14ac:dyDescent="0.25">
      <c r="A28" s="26">
        <v>21</v>
      </c>
      <c r="B28" s="167" t="s">
        <v>93</v>
      </c>
      <c r="C28" s="168"/>
      <c r="D28" s="168"/>
      <c r="E28" s="168"/>
      <c r="F28" s="168"/>
      <c r="G28" s="168"/>
      <c r="H28" s="168"/>
      <c r="I28" s="168"/>
      <c r="J28" s="168"/>
      <c r="K28" s="168"/>
      <c r="L28" s="168"/>
      <c r="M28" s="168"/>
      <c r="N28" s="169"/>
    </row>
    <row r="29" spans="1:14" ht="27.75" customHeight="1" x14ac:dyDescent="0.25">
      <c r="A29" s="25">
        <v>22</v>
      </c>
      <c r="B29" s="167" t="s">
        <v>92</v>
      </c>
      <c r="C29" s="168"/>
      <c r="D29" s="168"/>
      <c r="E29" s="168"/>
      <c r="F29" s="168"/>
      <c r="G29" s="168"/>
      <c r="H29" s="168"/>
      <c r="I29" s="168"/>
      <c r="J29" s="168"/>
      <c r="K29" s="168"/>
      <c r="L29" s="168"/>
      <c r="M29" s="168"/>
      <c r="N29" s="169"/>
    </row>
    <row r="30" spans="1:14" ht="15.75" customHeight="1" x14ac:dyDescent="0.25">
      <c r="A30" s="25"/>
      <c r="B30" s="176"/>
      <c r="C30" s="177"/>
      <c r="D30" s="177"/>
      <c r="E30" s="177"/>
      <c r="F30" s="177"/>
      <c r="G30" s="177"/>
      <c r="H30" s="177"/>
      <c r="I30" s="177"/>
      <c r="J30" s="177"/>
      <c r="K30" s="177"/>
      <c r="L30" s="177"/>
      <c r="M30" s="177"/>
      <c r="N30" s="178"/>
    </row>
    <row r="31" spans="1:14" ht="28.5" customHeight="1" x14ac:dyDescent="0.25">
      <c r="A31" s="25">
        <v>23</v>
      </c>
      <c r="B31" s="167" t="s">
        <v>96</v>
      </c>
      <c r="C31" s="168"/>
      <c r="D31" s="168"/>
      <c r="E31" s="168"/>
      <c r="F31" s="168"/>
      <c r="G31" s="168"/>
      <c r="H31" s="168"/>
      <c r="I31" s="168"/>
      <c r="J31" s="168"/>
      <c r="K31" s="168"/>
      <c r="L31" s="168"/>
      <c r="M31" s="168"/>
      <c r="N31" s="169"/>
    </row>
    <row r="32" spans="1:14" ht="17.25" customHeight="1" x14ac:dyDescent="0.25">
      <c r="A32" s="25">
        <v>24</v>
      </c>
      <c r="B32" s="167" t="s">
        <v>97</v>
      </c>
      <c r="C32" s="168"/>
      <c r="D32" s="168"/>
      <c r="E32" s="168"/>
      <c r="F32" s="168"/>
      <c r="G32" s="168"/>
      <c r="H32" s="168"/>
      <c r="I32" s="168"/>
      <c r="J32" s="168"/>
      <c r="K32" s="168"/>
      <c r="L32" s="168"/>
      <c r="M32" s="168"/>
      <c r="N32" s="169"/>
    </row>
    <row r="33" spans="1:14" ht="17.25" customHeight="1" x14ac:dyDescent="0.25">
      <c r="A33" s="25"/>
      <c r="B33" s="176"/>
      <c r="C33" s="177"/>
      <c r="D33" s="177"/>
      <c r="E33" s="177"/>
      <c r="F33" s="177"/>
      <c r="G33" s="177"/>
      <c r="H33" s="177"/>
      <c r="I33" s="177"/>
      <c r="J33" s="177"/>
      <c r="K33" s="177"/>
      <c r="L33" s="177"/>
      <c r="M33" s="177"/>
      <c r="N33" s="178"/>
    </row>
    <row r="34" spans="1:14" ht="17.25" customHeight="1" x14ac:dyDescent="0.25">
      <c r="A34" s="25">
        <v>25</v>
      </c>
      <c r="B34" s="189" t="s">
        <v>98</v>
      </c>
      <c r="C34" s="168"/>
      <c r="D34" s="168"/>
      <c r="E34" s="168"/>
      <c r="F34" s="168"/>
      <c r="G34" s="168"/>
      <c r="H34" s="168"/>
      <c r="I34" s="168"/>
      <c r="J34" s="168"/>
      <c r="K34" s="168"/>
      <c r="L34" s="168"/>
      <c r="M34" s="168"/>
      <c r="N34" s="169"/>
    </row>
    <row r="35" spans="1:14" ht="17.25" customHeight="1" x14ac:dyDescent="0.25">
      <c r="A35" s="25">
        <v>26</v>
      </c>
      <c r="B35" s="167" t="s">
        <v>99</v>
      </c>
      <c r="C35" s="168"/>
      <c r="D35" s="168"/>
      <c r="E35" s="168"/>
      <c r="F35" s="168"/>
      <c r="G35" s="168"/>
      <c r="H35" s="168"/>
      <c r="I35" s="168"/>
      <c r="J35" s="168"/>
      <c r="K35" s="168"/>
      <c r="L35" s="168"/>
      <c r="M35" s="168"/>
      <c r="N35" s="169"/>
    </row>
    <row r="36" spans="1:14" ht="45.75" customHeight="1" x14ac:dyDescent="0.25">
      <c r="A36" s="25">
        <v>27</v>
      </c>
      <c r="B36" s="167" t="s">
        <v>100</v>
      </c>
      <c r="C36" s="168"/>
      <c r="D36" s="168"/>
      <c r="E36" s="168"/>
      <c r="F36" s="168"/>
      <c r="G36" s="168"/>
      <c r="H36" s="168"/>
      <c r="I36" s="168"/>
      <c r="J36" s="168"/>
      <c r="K36" s="168"/>
      <c r="L36" s="168"/>
      <c r="M36" s="168"/>
      <c r="N36" s="169"/>
    </row>
    <row r="37" spans="1:14" ht="17.25" customHeight="1" x14ac:dyDescent="0.25">
      <c r="A37" s="25">
        <v>28</v>
      </c>
      <c r="B37" s="167" t="s">
        <v>101</v>
      </c>
      <c r="C37" s="168"/>
      <c r="D37" s="168"/>
      <c r="E37" s="168"/>
      <c r="F37" s="168"/>
      <c r="G37" s="168"/>
      <c r="H37" s="168"/>
      <c r="I37" s="168"/>
      <c r="J37" s="168"/>
      <c r="K37" s="168"/>
      <c r="L37" s="168"/>
      <c r="M37" s="168"/>
      <c r="N37" s="169"/>
    </row>
    <row r="38" spans="1:14" ht="42.75" customHeight="1" x14ac:dyDescent="0.25">
      <c r="A38" s="25">
        <v>29</v>
      </c>
      <c r="B38" s="185" t="s">
        <v>102</v>
      </c>
      <c r="C38" s="186"/>
      <c r="D38" s="186"/>
      <c r="E38" s="186"/>
      <c r="F38" s="186"/>
      <c r="G38" s="186"/>
      <c r="H38" s="186"/>
      <c r="I38" s="186"/>
      <c r="J38" s="186"/>
      <c r="K38" s="186"/>
      <c r="L38" s="186"/>
      <c r="M38" s="186"/>
      <c r="N38" s="187"/>
    </row>
    <row r="39" spans="1:14" ht="78" customHeight="1" x14ac:dyDescent="0.25">
      <c r="A39" s="25">
        <v>30</v>
      </c>
      <c r="B39" s="167" t="s">
        <v>103</v>
      </c>
      <c r="C39" s="168"/>
      <c r="D39" s="168"/>
      <c r="E39" s="168"/>
      <c r="F39" s="168"/>
      <c r="G39" s="168"/>
      <c r="H39" s="168"/>
      <c r="I39" s="168"/>
      <c r="J39" s="168"/>
      <c r="K39" s="168"/>
      <c r="L39" s="168"/>
      <c r="M39" s="168"/>
      <c r="N39" s="169"/>
    </row>
    <row r="40" spans="1:14" ht="14.25" customHeight="1" x14ac:dyDescent="0.25">
      <c r="A40" s="25"/>
      <c r="B40" s="176"/>
      <c r="C40" s="177"/>
      <c r="D40" s="177"/>
      <c r="E40" s="177"/>
      <c r="F40" s="177"/>
      <c r="G40" s="177"/>
      <c r="H40" s="177"/>
      <c r="I40" s="177"/>
      <c r="J40" s="177"/>
      <c r="K40" s="177"/>
      <c r="L40" s="177"/>
      <c r="M40" s="177"/>
      <c r="N40" s="178"/>
    </row>
    <row r="41" spans="1:14" ht="29.25" customHeight="1" x14ac:dyDescent="0.25">
      <c r="A41" s="25">
        <v>31</v>
      </c>
      <c r="B41" s="193" t="s">
        <v>114</v>
      </c>
      <c r="C41" s="173"/>
      <c r="D41" s="173"/>
      <c r="E41" s="173"/>
      <c r="F41" s="173"/>
      <c r="G41" s="173"/>
      <c r="H41" s="173"/>
      <c r="I41" s="173"/>
      <c r="J41" s="173"/>
      <c r="K41" s="173"/>
      <c r="L41" s="173"/>
      <c r="M41" s="173"/>
      <c r="N41" s="175"/>
    </row>
    <row r="42" spans="1:14" ht="28.5" customHeight="1" x14ac:dyDescent="0.25">
      <c r="A42" s="25">
        <v>32</v>
      </c>
      <c r="B42" s="193" t="s">
        <v>115</v>
      </c>
      <c r="C42" s="173"/>
      <c r="D42" s="173"/>
      <c r="E42" s="173"/>
      <c r="F42" s="173"/>
      <c r="G42" s="173"/>
      <c r="H42" s="173"/>
      <c r="I42" s="173"/>
      <c r="J42" s="173"/>
      <c r="K42" s="173"/>
      <c r="L42" s="173"/>
      <c r="M42" s="173"/>
      <c r="N42" s="175"/>
    </row>
    <row r="43" spans="1:14" ht="17.25" customHeight="1" x14ac:dyDescent="0.25">
      <c r="A43" s="25">
        <v>33</v>
      </c>
      <c r="B43" s="194" t="s">
        <v>160</v>
      </c>
      <c r="C43" s="168"/>
      <c r="D43" s="168"/>
      <c r="E43" s="168"/>
      <c r="F43" s="168"/>
      <c r="G43" s="168"/>
      <c r="H43" s="168"/>
      <c r="I43" s="168"/>
      <c r="J43" s="168"/>
      <c r="K43" s="168"/>
      <c r="L43" s="168"/>
      <c r="M43" s="168"/>
      <c r="N43" s="169"/>
    </row>
    <row r="44" spans="1:14" ht="29.25" customHeight="1" x14ac:dyDescent="0.25">
      <c r="A44" s="25">
        <v>34</v>
      </c>
      <c r="B44" s="167" t="s">
        <v>193</v>
      </c>
      <c r="C44" s="168"/>
      <c r="D44" s="168"/>
      <c r="E44" s="168"/>
      <c r="F44" s="168"/>
      <c r="G44" s="168"/>
      <c r="H44" s="168"/>
      <c r="I44" s="168"/>
      <c r="J44" s="168"/>
      <c r="K44" s="168"/>
      <c r="L44" s="168"/>
      <c r="M44" s="168"/>
      <c r="N44" s="169"/>
    </row>
    <row r="45" spans="1:14" ht="17.25" customHeight="1" x14ac:dyDescent="0.25">
      <c r="A45" s="25">
        <v>35</v>
      </c>
      <c r="B45" s="167" t="s">
        <v>197</v>
      </c>
      <c r="C45" s="168"/>
      <c r="D45" s="168"/>
      <c r="E45" s="168"/>
      <c r="F45" s="168"/>
      <c r="G45" s="168"/>
      <c r="H45" s="168"/>
      <c r="I45" s="168"/>
      <c r="J45" s="168"/>
      <c r="K45" s="168"/>
      <c r="L45" s="168"/>
      <c r="M45" s="168"/>
      <c r="N45" s="169"/>
    </row>
    <row r="46" spans="1:14" ht="17.25" customHeight="1" x14ac:dyDescent="0.25">
      <c r="A46" s="25">
        <v>36</v>
      </c>
      <c r="B46" s="185" t="s">
        <v>202</v>
      </c>
      <c r="C46" s="186"/>
      <c r="D46" s="186"/>
      <c r="E46" s="186"/>
      <c r="F46" s="186"/>
      <c r="G46" s="186"/>
      <c r="H46" s="186"/>
      <c r="I46" s="186"/>
      <c r="J46" s="186"/>
      <c r="K46" s="186"/>
      <c r="L46" s="186"/>
      <c r="M46" s="186"/>
      <c r="N46" s="187"/>
    </row>
    <row r="47" spans="1:14" ht="12" customHeight="1" x14ac:dyDescent="0.25">
      <c r="A47" s="25"/>
      <c r="B47" s="167"/>
      <c r="C47" s="168"/>
      <c r="D47" s="168"/>
      <c r="E47" s="168"/>
      <c r="F47" s="168"/>
      <c r="G47" s="168"/>
      <c r="H47" s="168"/>
      <c r="I47" s="168"/>
      <c r="J47" s="168"/>
      <c r="K47" s="168"/>
      <c r="L47" s="168"/>
      <c r="M47" s="168"/>
      <c r="N47" s="169"/>
    </row>
    <row r="48" spans="1:14" ht="17.25" customHeight="1" x14ac:dyDescent="0.25">
      <c r="A48" s="25">
        <v>37</v>
      </c>
      <c r="B48" s="167" t="s">
        <v>206</v>
      </c>
      <c r="C48" s="168"/>
      <c r="D48" s="168"/>
      <c r="E48" s="168"/>
      <c r="F48" s="168"/>
      <c r="G48" s="168"/>
      <c r="H48" s="168"/>
      <c r="I48" s="168"/>
      <c r="J48" s="168"/>
      <c r="K48" s="168"/>
      <c r="L48" s="168"/>
      <c r="M48" s="168"/>
      <c r="N48" s="169"/>
    </row>
    <row r="49" spans="1:14" ht="17.25" customHeight="1" x14ac:dyDescent="0.25">
      <c r="A49" s="25">
        <v>38</v>
      </c>
      <c r="B49" s="167" t="s">
        <v>236</v>
      </c>
      <c r="C49" s="168"/>
      <c r="D49" s="168"/>
      <c r="E49" s="168"/>
      <c r="F49" s="168"/>
      <c r="G49" s="168"/>
      <c r="H49" s="168"/>
      <c r="I49" s="168"/>
      <c r="J49" s="168"/>
      <c r="K49" s="168"/>
      <c r="L49" s="168"/>
      <c r="M49" s="168"/>
      <c r="N49" s="169"/>
    </row>
    <row r="50" spans="1:14" ht="9.75" customHeight="1" x14ac:dyDescent="0.25">
      <c r="A50" s="25"/>
      <c r="B50" s="176"/>
      <c r="C50" s="177"/>
      <c r="D50" s="177"/>
      <c r="E50" s="177"/>
      <c r="F50" s="177"/>
      <c r="G50" s="177"/>
      <c r="H50" s="177"/>
      <c r="I50" s="177"/>
      <c r="J50" s="177"/>
      <c r="K50" s="177"/>
      <c r="L50" s="177"/>
      <c r="M50" s="177"/>
      <c r="N50" s="178"/>
    </row>
    <row r="51" spans="1:14" ht="17.25" customHeight="1" x14ac:dyDescent="0.25">
      <c r="A51" s="25">
        <v>39</v>
      </c>
      <c r="B51" s="167" t="s">
        <v>95</v>
      </c>
      <c r="C51" s="168"/>
      <c r="D51" s="168"/>
      <c r="E51" s="168"/>
      <c r="F51" s="168"/>
      <c r="G51" s="168"/>
      <c r="H51" s="168"/>
      <c r="I51" s="168"/>
      <c r="J51" s="168"/>
      <c r="K51" s="168"/>
      <c r="L51" s="168"/>
      <c r="M51" s="168"/>
      <c r="N51" s="169"/>
    </row>
    <row r="52" spans="1:14" ht="43.5" customHeight="1" x14ac:dyDescent="0.25">
      <c r="A52" s="25">
        <v>40</v>
      </c>
      <c r="B52" s="167" t="s">
        <v>250</v>
      </c>
      <c r="C52" s="168"/>
      <c r="D52" s="168"/>
      <c r="E52" s="168"/>
      <c r="F52" s="168"/>
      <c r="G52" s="168"/>
      <c r="H52" s="168"/>
      <c r="I52" s="168"/>
      <c r="J52" s="168"/>
      <c r="K52" s="168"/>
      <c r="L52" s="168"/>
      <c r="M52" s="168"/>
      <c r="N52" s="169"/>
    </row>
    <row r="53" spans="1:14" ht="49.5" customHeight="1" x14ac:dyDescent="0.25">
      <c r="A53" s="25">
        <v>41</v>
      </c>
      <c r="B53" s="167" t="s">
        <v>251</v>
      </c>
      <c r="C53" s="168"/>
      <c r="D53" s="168"/>
      <c r="E53" s="168"/>
      <c r="F53" s="168"/>
      <c r="G53" s="168"/>
      <c r="H53" s="168"/>
      <c r="I53" s="168"/>
      <c r="J53" s="168"/>
      <c r="K53" s="168"/>
      <c r="L53" s="168"/>
      <c r="M53" s="168"/>
      <c r="N53" s="169"/>
    </row>
    <row r="54" spans="1:14" ht="29.25" customHeight="1" x14ac:dyDescent="0.25">
      <c r="A54" s="25">
        <v>42</v>
      </c>
      <c r="B54" s="167" t="s">
        <v>316</v>
      </c>
      <c r="C54" s="168"/>
      <c r="D54" s="168"/>
      <c r="E54" s="168"/>
      <c r="F54" s="168"/>
      <c r="G54" s="168"/>
      <c r="H54" s="168"/>
      <c r="I54" s="168"/>
      <c r="J54" s="168"/>
      <c r="K54" s="168"/>
      <c r="L54" s="168"/>
      <c r="M54" s="168"/>
      <c r="N54" s="169"/>
    </row>
    <row r="55" spans="1:14" ht="35.25" customHeight="1" x14ac:dyDescent="0.25">
      <c r="A55" s="25">
        <v>43</v>
      </c>
      <c r="B55" s="167" t="s">
        <v>312</v>
      </c>
      <c r="C55" s="168"/>
      <c r="D55" s="168"/>
      <c r="E55" s="168"/>
      <c r="F55" s="168"/>
      <c r="G55" s="168"/>
      <c r="H55" s="168"/>
      <c r="I55" s="168"/>
      <c r="J55" s="168"/>
      <c r="K55" s="168"/>
      <c r="L55" s="168"/>
      <c r="M55" s="168"/>
      <c r="N55" s="169"/>
    </row>
    <row r="56" spans="1:14" ht="28.5" customHeight="1" x14ac:dyDescent="0.25">
      <c r="A56" s="25">
        <v>44</v>
      </c>
      <c r="B56" s="167" t="s">
        <v>315</v>
      </c>
      <c r="C56" s="168"/>
      <c r="D56" s="168"/>
      <c r="E56" s="168"/>
      <c r="F56" s="168"/>
      <c r="G56" s="168"/>
      <c r="H56" s="168"/>
      <c r="I56" s="168"/>
      <c r="J56" s="168"/>
      <c r="K56" s="168"/>
      <c r="L56" s="168"/>
      <c r="M56" s="168"/>
      <c r="N56" s="169"/>
    </row>
    <row r="57" spans="1:14" ht="48.75" customHeight="1" x14ac:dyDescent="0.25">
      <c r="A57" s="25">
        <v>45</v>
      </c>
      <c r="B57" s="167" t="s">
        <v>313</v>
      </c>
      <c r="C57" s="168"/>
      <c r="D57" s="168"/>
      <c r="E57" s="168"/>
      <c r="F57" s="168"/>
      <c r="G57" s="168"/>
      <c r="H57" s="168"/>
      <c r="I57" s="168"/>
      <c r="J57" s="168"/>
      <c r="K57" s="168"/>
      <c r="L57" s="168"/>
      <c r="M57" s="168"/>
      <c r="N57" s="169"/>
    </row>
    <row r="58" spans="1:14" ht="17.25" customHeight="1" x14ac:dyDescent="0.25">
      <c r="A58" s="25">
        <v>46</v>
      </c>
      <c r="B58" s="167" t="s">
        <v>317</v>
      </c>
      <c r="C58" s="168"/>
      <c r="D58" s="168"/>
      <c r="E58" s="168"/>
      <c r="F58" s="168"/>
      <c r="G58" s="168"/>
      <c r="H58" s="168"/>
      <c r="I58" s="168"/>
      <c r="J58" s="168"/>
      <c r="K58" s="168"/>
      <c r="L58" s="168"/>
      <c r="M58" s="168"/>
      <c r="N58" s="169"/>
    </row>
    <row r="59" spans="1:14" ht="17.25" customHeight="1" x14ac:dyDescent="0.25">
      <c r="A59" s="25">
        <v>47</v>
      </c>
      <c r="B59" s="167" t="s">
        <v>318</v>
      </c>
      <c r="C59" s="168"/>
      <c r="D59" s="168"/>
      <c r="E59" s="168"/>
      <c r="F59" s="168"/>
      <c r="G59" s="168"/>
      <c r="H59" s="168"/>
      <c r="I59" s="168"/>
      <c r="J59" s="168"/>
      <c r="K59" s="168"/>
      <c r="L59" s="168"/>
      <c r="M59" s="168"/>
      <c r="N59" s="169"/>
    </row>
    <row r="60" spans="1:14" ht="17.25" customHeight="1" x14ac:dyDescent="0.25">
      <c r="A60" s="25">
        <v>48</v>
      </c>
      <c r="B60" s="179" t="s">
        <v>319</v>
      </c>
      <c r="C60" s="180"/>
      <c r="D60" s="180"/>
      <c r="E60" s="180"/>
      <c r="F60" s="180"/>
      <c r="G60" s="180"/>
      <c r="H60" s="180"/>
      <c r="I60" s="180"/>
      <c r="J60" s="180"/>
      <c r="K60" s="180"/>
      <c r="L60" s="180"/>
      <c r="M60" s="180"/>
      <c r="N60" s="181"/>
    </row>
    <row r="61" spans="1:14" ht="17.25" customHeight="1" x14ac:dyDescent="0.25">
      <c r="A61" s="25">
        <v>49</v>
      </c>
      <c r="B61" s="193" t="s">
        <v>320</v>
      </c>
      <c r="C61" s="173"/>
      <c r="D61" s="173"/>
      <c r="E61" s="173"/>
      <c r="F61" s="173"/>
      <c r="G61" s="173"/>
      <c r="H61" s="173"/>
      <c r="I61" s="173"/>
      <c r="J61" s="173"/>
      <c r="K61" s="173"/>
      <c r="L61" s="173"/>
      <c r="M61" s="173"/>
      <c r="N61" s="175"/>
    </row>
    <row r="62" spans="1:14" ht="17.25" customHeight="1" x14ac:dyDescent="0.25">
      <c r="A62" s="25">
        <v>50</v>
      </c>
      <c r="B62" s="167" t="s">
        <v>334</v>
      </c>
      <c r="C62" s="168"/>
      <c r="D62" s="168"/>
      <c r="E62" s="168"/>
      <c r="F62" s="168"/>
      <c r="G62" s="168"/>
      <c r="H62" s="168"/>
      <c r="I62" s="168"/>
      <c r="J62" s="168"/>
      <c r="K62" s="168"/>
      <c r="L62" s="168"/>
      <c r="M62" s="168"/>
      <c r="N62" s="169"/>
    </row>
    <row r="63" spans="1:14" ht="17.25" customHeight="1" x14ac:dyDescent="0.25">
      <c r="A63" s="25">
        <v>51</v>
      </c>
      <c r="B63" s="269" t="s">
        <v>337</v>
      </c>
      <c r="C63" s="186"/>
      <c r="D63" s="186"/>
      <c r="E63" s="186"/>
      <c r="F63" s="186"/>
      <c r="G63" s="186"/>
      <c r="H63" s="186"/>
      <c r="I63" s="186"/>
      <c r="J63" s="186"/>
      <c r="K63" s="186"/>
      <c r="L63" s="186"/>
      <c r="M63" s="186"/>
      <c r="N63" s="187"/>
    </row>
    <row r="64" spans="1:14" ht="17.25" customHeight="1" x14ac:dyDescent="0.25">
      <c r="A64" s="25">
        <v>52</v>
      </c>
      <c r="B64" s="167" t="s">
        <v>338</v>
      </c>
      <c r="C64" s="168"/>
      <c r="D64" s="168"/>
      <c r="E64" s="168"/>
      <c r="F64" s="168"/>
      <c r="G64" s="168"/>
      <c r="H64" s="168"/>
      <c r="I64" s="168"/>
      <c r="J64" s="168"/>
      <c r="K64" s="168"/>
      <c r="L64" s="168"/>
      <c r="M64" s="168"/>
      <c r="N64" s="169"/>
    </row>
    <row r="65" spans="1:14" ht="17.25" customHeight="1" x14ac:dyDescent="0.25">
      <c r="A65" s="25">
        <v>53</v>
      </c>
      <c r="B65" s="167"/>
      <c r="C65" s="168"/>
      <c r="D65" s="168"/>
      <c r="E65" s="168"/>
      <c r="F65" s="168"/>
      <c r="G65" s="168"/>
      <c r="H65" s="168"/>
      <c r="I65" s="168"/>
      <c r="J65" s="168"/>
      <c r="K65" s="168"/>
      <c r="L65" s="168"/>
      <c r="M65" s="168"/>
      <c r="N65" s="169"/>
    </row>
    <row r="66" spans="1:14" ht="17.25" customHeight="1" x14ac:dyDescent="0.25">
      <c r="A66" s="25">
        <v>54</v>
      </c>
      <c r="B66" s="167"/>
      <c r="C66" s="168"/>
      <c r="D66" s="168"/>
      <c r="E66" s="168"/>
      <c r="F66" s="168"/>
      <c r="G66" s="168"/>
      <c r="H66" s="168"/>
      <c r="I66" s="168"/>
      <c r="J66" s="168"/>
      <c r="K66" s="168"/>
      <c r="L66" s="168"/>
      <c r="M66" s="168"/>
      <c r="N66" s="169"/>
    </row>
    <row r="67" spans="1:14" ht="17.25" customHeight="1" x14ac:dyDescent="0.25">
      <c r="A67" s="25">
        <v>55</v>
      </c>
      <c r="B67" s="167"/>
      <c r="C67" s="168"/>
      <c r="D67" s="168"/>
      <c r="E67" s="168"/>
      <c r="F67" s="168"/>
      <c r="G67" s="168"/>
      <c r="H67" s="168"/>
      <c r="I67" s="168"/>
      <c r="J67" s="168"/>
      <c r="K67" s="168"/>
      <c r="L67" s="168"/>
      <c r="M67" s="168"/>
      <c r="N67" s="169"/>
    </row>
    <row r="68" spans="1:14" ht="17.25" customHeight="1" x14ac:dyDescent="0.25">
      <c r="A68" s="25">
        <v>56</v>
      </c>
      <c r="B68" s="167"/>
      <c r="C68" s="168"/>
      <c r="D68" s="168"/>
      <c r="E68" s="168"/>
      <c r="F68" s="168"/>
      <c r="G68" s="168"/>
      <c r="H68" s="168"/>
      <c r="I68" s="168"/>
      <c r="J68" s="168"/>
      <c r="K68" s="168"/>
      <c r="L68" s="168"/>
      <c r="M68" s="168"/>
      <c r="N68" s="169"/>
    </row>
    <row r="69" spans="1:14" ht="17.25" customHeight="1" x14ac:dyDescent="0.25">
      <c r="A69" s="25">
        <v>57</v>
      </c>
      <c r="B69" s="167"/>
      <c r="C69" s="168"/>
      <c r="D69" s="168"/>
      <c r="E69" s="168"/>
      <c r="F69" s="168"/>
      <c r="G69" s="168"/>
      <c r="H69" s="168"/>
      <c r="I69" s="168"/>
      <c r="J69" s="168"/>
      <c r="K69" s="168"/>
      <c r="L69" s="168"/>
      <c r="M69" s="168"/>
      <c r="N69" s="169"/>
    </row>
    <row r="70" spans="1:14" ht="17.25" customHeight="1" x14ac:dyDescent="0.25">
      <c r="A70" s="25">
        <v>58</v>
      </c>
      <c r="B70" s="167"/>
      <c r="C70" s="168"/>
      <c r="D70" s="168"/>
      <c r="E70" s="168"/>
      <c r="F70" s="168"/>
      <c r="G70" s="168"/>
      <c r="H70" s="168"/>
      <c r="I70" s="168"/>
      <c r="J70" s="168"/>
      <c r="K70" s="168"/>
      <c r="L70" s="168"/>
      <c r="M70" s="168"/>
      <c r="N70" s="169"/>
    </row>
    <row r="71" spans="1:14" ht="17.25" customHeight="1" x14ac:dyDescent="0.25">
      <c r="A71" s="25">
        <v>59</v>
      </c>
      <c r="B71" s="167"/>
      <c r="C71" s="168"/>
      <c r="D71" s="168"/>
      <c r="E71" s="168"/>
      <c r="F71" s="168"/>
      <c r="G71" s="168"/>
      <c r="H71" s="168"/>
      <c r="I71" s="168"/>
      <c r="J71" s="168"/>
      <c r="K71" s="168"/>
      <c r="L71" s="168"/>
      <c r="M71" s="168"/>
      <c r="N71" s="169"/>
    </row>
    <row r="72" spans="1:14" ht="17.25" customHeight="1" thickBot="1" x14ac:dyDescent="0.3">
      <c r="A72" s="25">
        <v>60</v>
      </c>
      <c r="B72" s="170"/>
      <c r="C72" s="171"/>
      <c r="D72" s="171"/>
      <c r="E72" s="171"/>
      <c r="F72" s="171"/>
      <c r="G72" s="171"/>
      <c r="H72" s="171"/>
      <c r="I72" s="171"/>
      <c r="J72" s="171"/>
      <c r="K72" s="171"/>
      <c r="L72" s="171"/>
      <c r="M72" s="171"/>
      <c r="N72" s="172"/>
    </row>
  </sheetData>
  <autoFilter ref="A31:N72"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72">
    <mergeCell ref="A1:C1"/>
    <mergeCell ref="B2:N2"/>
    <mergeCell ref="B3:N3"/>
    <mergeCell ref="B4:N4"/>
    <mergeCell ref="B5:N5"/>
    <mergeCell ref="B37:N37"/>
    <mergeCell ref="B22:N22"/>
    <mergeCell ref="B24:N24"/>
    <mergeCell ref="B26:N26"/>
    <mergeCell ref="B28:N28"/>
    <mergeCell ref="B29:N29"/>
    <mergeCell ref="B31:N31"/>
    <mergeCell ref="B32:N32"/>
    <mergeCell ref="B34:N34"/>
    <mergeCell ref="B35:N35"/>
    <mergeCell ref="B36:N36"/>
    <mergeCell ref="B30:N30"/>
    <mergeCell ref="B33:N33"/>
    <mergeCell ref="B52:N52"/>
    <mergeCell ref="B38:N38"/>
    <mergeCell ref="B39:N39"/>
    <mergeCell ref="B41:N41"/>
    <mergeCell ref="B42:N42"/>
    <mergeCell ref="B43:N43"/>
    <mergeCell ref="B44:N44"/>
    <mergeCell ref="B45:N45"/>
    <mergeCell ref="B46:N46"/>
    <mergeCell ref="B48:N48"/>
    <mergeCell ref="B49:N49"/>
    <mergeCell ref="B51:N51"/>
    <mergeCell ref="B47:N47"/>
    <mergeCell ref="B50:N50"/>
    <mergeCell ref="B63:N63"/>
    <mergeCell ref="B64:N64"/>
    <mergeCell ref="B53:N53"/>
    <mergeCell ref="B54:N54"/>
    <mergeCell ref="B55:N55"/>
    <mergeCell ref="B56:N56"/>
    <mergeCell ref="B57:N57"/>
    <mergeCell ref="B58:N58"/>
    <mergeCell ref="B6:N6"/>
    <mergeCell ref="B17:N17"/>
    <mergeCell ref="B11:N11"/>
    <mergeCell ref="B23:N23"/>
    <mergeCell ref="B25:N25"/>
    <mergeCell ref="B15:N15"/>
    <mergeCell ref="B16:N16"/>
    <mergeCell ref="B18:N18"/>
    <mergeCell ref="B19:N19"/>
    <mergeCell ref="B20:N20"/>
    <mergeCell ref="B21:N21"/>
    <mergeCell ref="B10:N10"/>
    <mergeCell ref="B12:N12"/>
    <mergeCell ref="B13:N13"/>
    <mergeCell ref="B14:N14"/>
    <mergeCell ref="B7:N7"/>
    <mergeCell ref="B71:N71"/>
    <mergeCell ref="B72:N72"/>
    <mergeCell ref="E8:N8"/>
    <mergeCell ref="G9:N9"/>
    <mergeCell ref="B27:N27"/>
    <mergeCell ref="B65:N65"/>
    <mergeCell ref="B66:N66"/>
    <mergeCell ref="B67:N67"/>
    <mergeCell ref="B68:N68"/>
    <mergeCell ref="B69:N69"/>
    <mergeCell ref="B70:N70"/>
    <mergeCell ref="B59:N59"/>
    <mergeCell ref="B60:N60"/>
    <mergeCell ref="B61:N61"/>
    <mergeCell ref="B40:N40"/>
    <mergeCell ref="B62:N62"/>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rgb="FF0070C0"/>
  </sheetPr>
  <dimension ref="A1:X56"/>
  <sheetViews>
    <sheetView showGridLines="0" workbookViewId="0">
      <pane ySplit="1" topLeftCell="A2" activePane="bottomLeft" state="frozen"/>
      <selection pane="bottomLeft" activeCell="L2" sqref="L2:X2"/>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206" t="s">
        <v>217</v>
      </c>
      <c r="J1" s="207"/>
      <c r="K1" s="207"/>
      <c r="L1" s="207"/>
      <c r="M1" s="207"/>
      <c r="N1" s="207"/>
      <c r="O1" s="207"/>
      <c r="P1" s="207"/>
      <c r="Q1" s="207"/>
      <c r="R1" s="207"/>
      <c r="S1" s="207"/>
      <c r="T1" s="207"/>
      <c r="U1" s="207"/>
      <c r="V1" s="208"/>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201" t="s">
        <v>214</v>
      </c>
      <c r="M2" s="201"/>
      <c r="N2" s="201"/>
      <c r="O2" s="201"/>
      <c r="P2" s="201"/>
      <c r="Q2" s="201"/>
      <c r="R2" s="201"/>
      <c r="S2" s="201"/>
      <c r="T2" s="201"/>
      <c r="U2" s="201"/>
      <c r="V2" s="201"/>
      <c r="W2" s="201"/>
      <c r="X2" s="201"/>
    </row>
    <row r="3" spans="1:24" x14ac:dyDescent="0.25">
      <c r="A3" s="29">
        <v>44236</v>
      </c>
      <c r="B3" s="30" t="s">
        <v>42</v>
      </c>
      <c r="C3" s="30" t="s">
        <v>45</v>
      </c>
      <c r="D3" s="30" t="s">
        <v>46</v>
      </c>
      <c r="E3" s="30">
        <v>40</v>
      </c>
      <c r="F3" s="30">
        <v>4.99</v>
      </c>
      <c r="G3" s="31">
        <f t="shared" si="0"/>
        <v>199.60000000000002</v>
      </c>
      <c r="I3" s="13" t="s">
        <v>42</v>
      </c>
      <c r="J3">
        <v>10909.43</v>
      </c>
      <c r="L3" s="203" t="s">
        <v>215</v>
      </c>
      <c r="M3" s="203"/>
      <c r="N3" s="203"/>
      <c r="O3" s="203"/>
      <c r="P3" s="203"/>
      <c r="Q3" s="203"/>
      <c r="R3" s="203"/>
      <c r="S3" s="203"/>
      <c r="T3" s="203"/>
      <c r="U3" s="203"/>
      <c r="V3" s="203"/>
      <c r="W3" s="203"/>
      <c r="X3" s="203"/>
    </row>
    <row r="4" spans="1:24" x14ac:dyDescent="0.25">
      <c r="A4" s="32">
        <v>44253</v>
      </c>
      <c r="B4" s="33" t="s">
        <v>42</v>
      </c>
      <c r="C4" s="33" t="s">
        <v>47</v>
      </c>
      <c r="D4" s="33" t="s">
        <v>48</v>
      </c>
      <c r="E4" s="33">
        <v>27</v>
      </c>
      <c r="F4" s="33">
        <v>19.989999999999998</v>
      </c>
      <c r="G4" s="34">
        <f t="shared" si="0"/>
        <v>539.7299999999999</v>
      </c>
      <c r="I4" s="15" t="s">
        <v>49</v>
      </c>
      <c r="J4">
        <v>438.37</v>
      </c>
      <c r="L4" s="203" t="s">
        <v>216</v>
      </c>
      <c r="M4" s="203"/>
      <c r="N4" s="203"/>
      <c r="O4" s="203"/>
      <c r="P4" s="203"/>
      <c r="Q4" s="203"/>
      <c r="R4" s="203"/>
      <c r="S4" s="203"/>
      <c r="T4" s="203"/>
      <c r="U4" s="203"/>
      <c r="V4" s="203"/>
      <c r="W4" s="203"/>
      <c r="X4" s="203"/>
    </row>
    <row r="5" spans="1:24" x14ac:dyDescent="0.25">
      <c r="A5" s="29">
        <v>44304</v>
      </c>
      <c r="B5" s="30" t="s">
        <v>42</v>
      </c>
      <c r="C5" s="30" t="s">
        <v>49</v>
      </c>
      <c r="D5" s="30" t="s">
        <v>46</v>
      </c>
      <c r="E5" s="30">
        <v>75</v>
      </c>
      <c r="F5" s="30">
        <v>1.99</v>
      </c>
      <c r="G5" s="31">
        <f t="shared" si="0"/>
        <v>149.25</v>
      </c>
      <c r="I5" s="15" t="s">
        <v>47</v>
      </c>
      <c r="J5">
        <v>1749.8700000000001</v>
      </c>
      <c r="L5" s="201"/>
      <c r="M5" s="201"/>
      <c r="N5" s="201"/>
      <c r="O5" s="201"/>
      <c r="P5" s="201"/>
      <c r="Q5" s="201"/>
      <c r="R5" s="201"/>
      <c r="S5" s="201"/>
      <c r="T5" s="201"/>
      <c r="U5" s="201"/>
      <c r="V5" s="201"/>
      <c r="W5" s="201"/>
      <c r="X5" s="201"/>
    </row>
    <row r="6" spans="1:24" x14ac:dyDescent="0.25">
      <c r="A6" s="32">
        <v>44321</v>
      </c>
      <c r="B6" s="33" t="s">
        <v>42</v>
      </c>
      <c r="C6" s="33" t="s">
        <v>45</v>
      </c>
      <c r="D6" s="33" t="s">
        <v>46</v>
      </c>
      <c r="E6" s="33">
        <v>90</v>
      </c>
      <c r="F6" s="33">
        <v>4.99</v>
      </c>
      <c r="G6" s="34">
        <f t="shared" si="0"/>
        <v>449.1</v>
      </c>
      <c r="I6" s="15" t="s">
        <v>45</v>
      </c>
      <c r="J6">
        <v>2832.15</v>
      </c>
      <c r="L6" s="201"/>
      <c r="M6" s="201"/>
      <c r="N6" s="201"/>
      <c r="O6" s="201"/>
      <c r="P6" s="201"/>
      <c r="Q6" s="201"/>
      <c r="R6" s="201"/>
      <c r="S6" s="201"/>
      <c r="T6" s="201"/>
      <c r="U6" s="201"/>
      <c r="V6" s="201"/>
      <c r="W6" s="201"/>
      <c r="X6" s="201"/>
    </row>
    <row r="7" spans="1:24" x14ac:dyDescent="0.25">
      <c r="A7" s="29">
        <v>44372</v>
      </c>
      <c r="B7" s="30" t="s">
        <v>42</v>
      </c>
      <c r="C7" s="30" t="s">
        <v>50</v>
      </c>
      <c r="D7" s="30" t="s">
        <v>46</v>
      </c>
      <c r="E7" s="30">
        <v>90</v>
      </c>
      <c r="F7" s="30">
        <v>4.99</v>
      </c>
      <c r="G7" s="31">
        <f t="shared" si="0"/>
        <v>449.1</v>
      </c>
      <c r="I7" s="15" t="s">
        <v>43</v>
      </c>
      <c r="J7">
        <v>2309.84</v>
      </c>
      <c r="L7" s="201" t="s">
        <v>218</v>
      </c>
      <c r="M7" s="201"/>
      <c r="N7" s="201"/>
      <c r="O7" s="201"/>
      <c r="P7" s="201"/>
      <c r="Q7" s="201"/>
      <c r="R7" s="201"/>
      <c r="S7" s="201"/>
      <c r="T7" s="201"/>
      <c r="U7" s="201"/>
      <c r="V7" s="201"/>
      <c r="W7" s="201"/>
      <c r="X7" s="201"/>
    </row>
    <row r="8" spans="1:24" x14ac:dyDescent="0.25">
      <c r="A8" s="32">
        <v>44440</v>
      </c>
      <c r="B8" s="33" t="s">
        <v>42</v>
      </c>
      <c r="C8" s="33" t="s">
        <v>51</v>
      </c>
      <c r="D8" s="33" t="s">
        <v>52</v>
      </c>
      <c r="E8" s="33">
        <v>4</v>
      </c>
      <c r="F8" s="33">
        <v>200</v>
      </c>
      <c r="G8" s="34">
        <f t="shared" si="0"/>
        <v>800</v>
      </c>
      <c r="I8" s="15" t="s">
        <v>50</v>
      </c>
      <c r="J8">
        <v>1387.77</v>
      </c>
      <c r="L8" s="201"/>
      <c r="M8" s="201"/>
      <c r="N8" s="201"/>
      <c r="O8" s="201"/>
      <c r="P8" s="201"/>
      <c r="Q8" s="201"/>
      <c r="R8" s="201"/>
      <c r="S8" s="201"/>
      <c r="T8" s="201"/>
      <c r="U8" s="201"/>
      <c r="V8" s="201"/>
      <c r="W8" s="201"/>
      <c r="X8" s="201"/>
    </row>
    <row r="9" spans="1:24" x14ac:dyDescent="0.25">
      <c r="A9" s="29">
        <v>44474</v>
      </c>
      <c r="B9" s="30" t="s">
        <v>42</v>
      </c>
      <c r="C9" s="30" t="s">
        <v>50</v>
      </c>
      <c r="D9" s="30" t="s">
        <v>44</v>
      </c>
      <c r="E9" s="30">
        <v>28</v>
      </c>
      <c r="F9" s="30">
        <v>8.99</v>
      </c>
      <c r="G9" s="31">
        <f t="shared" si="0"/>
        <v>251.72</v>
      </c>
      <c r="I9" s="15" t="s">
        <v>51</v>
      </c>
      <c r="J9">
        <v>2191.4300000000003</v>
      </c>
      <c r="L9" s="201"/>
      <c r="M9" s="201"/>
      <c r="N9" s="201"/>
      <c r="O9" s="201"/>
      <c r="P9" s="201"/>
      <c r="Q9" s="201"/>
      <c r="R9" s="201"/>
      <c r="S9" s="201"/>
      <c r="T9" s="201"/>
      <c r="U9" s="201"/>
      <c r="V9" s="201"/>
      <c r="W9" s="201"/>
      <c r="X9" s="201"/>
    </row>
    <row r="10" spans="1:24" x14ac:dyDescent="0.25">
      <c r="A10" s="32">
        <v>44525</v>
      </c>
      <c r="B10" s="33" t="s">
        <v>42</v>
      </c>
      <c r="C10" s="33" t="s">
        <v>43</v>
      </c>
      <c r="D10" s="33" t="s">
        <v>53</v>
      </c>
      <c r="E10" s="33">
        <v>96</v>
      </c>
      <c r="F10" s="33">
        <v>4.99</v>
      </c>
      <c r="G10" s="34">
        <f t="shared" si="0"/>
        <v>479.04</v>
      </c>
      <c r="I10" s="13" t="s">
        <v>54</v>
      </c>
      <c r="J10">
        <v>6012.1299999999992</v>
      </c>
      <c r="L10" s="201"/>
      <c r="M10" s="201"/>
      <c r="N10" s="201"/>
      <c r="O10" s="201"/>
      <c r="P10" s="201"/>
      <c r="Q10" s="201"/>
      <c r="R10" s="201"/>
      <c r="S10" s="201"/>
      <c r="T10" s="201"/>
      <c r="U10" s="201"/>
      <c r="V10" s="201"/>
      <c r="W10" s="201"/>
      <c r="X10" s="201"/>
    </row>
    <row r="11" spans="1:24" x14ac:dyDescent="0.25">
      <c r="A11" s="29">
        <v>44542</v>
      </c>
      <c r="B11" s="30" t="s">
        <v>42</v>
      </c>
      <c r="C11" s="30" t="s">
        <v>51</v>
      </c>
      <c r="D11" s="30" t="s">
        <v>46</v>
      </c>
      <c r="E11" s="30">
        <v>67</v>
      </c>
      <c r="F11" s="30">
        <v>1.29</v>
      </c>
      <c r="G11" s="31">
        <f t="shared" si="0"/>
        <v>86.43</v>
      </c>
      <c r="I11" s="15" t="s">
        <v>56</v>
      </c>
      <c r="J11">
        <v>536.75</v>
      </c>
      <c r="L11" s="201"/>
      <c r="M11" s="201"/>
      <c r="N11" s="201"/>
      <c r="O11" s="201"/>
      <c r="P11" s="201"/>
      <c r="Q11" s="201"/>
      <c r="R11" s="201"/>
      <c r="S11" s="201"/>
      <c r="T11" s="201"/>
      <c r="U11" s="201"/>
      <c r="V11" s="201"/>
      <c r="W11" s="201"/>
      <c r="X11" s="201"/>
    </row>
    <row r="12" spans="1:24" x14ac:dyDescent="0.25">
      <c r="A12" s="32">
        <v>44576</v>
      </c>
      <c r="B12" s="33" t="s">
        <v>42</v>
      </c>
      <c r="C12" s="33" t="s">
        <v>47</v>
      </c>
      <c r="D12" s="33" t="s">
        <v>44</v>
      </c>
      <c r="E12" s="33">
        <v>46</v>
      </c>
      <c r="F12" s="33">
        <v>8.99</v>
      </c>
      <c r="G12" s="34">
        <f t="shared" si="0"/>
        <v>413.54</v>
      </c>
      <c r="I12" s="15" t="s">
        <v>55</v>
      </c>
      <c r="J12">
        <v>2373.08</v>
      </c>
      <c r="L12" s="201"/>
      <c r="M12" s="201"/>
      <c r="N12" s="201"/>
      <c r="O12" s="201"/>
      <c r="P12" s="201"/>
      <c r="Q12" s="201"/>
      <c r="R12" s="201"/>
      <c r="S12" s="201"/>
      <c r="T12" s="201"/>
      <c r="U12" s="201"/>
      <c r="V12" s="201"/>
      <c r="W12" s="201"/>
      <c r="X12" s="201"/>
    </row>
    <row r="13" spans="1:24" x14ac:dyDescent="0.25">
      <c r="A13" s="29">
        <v>44593</v>
      </c>
      <c r="B13" s="30" t="s">
        <v>42</v>
      </c>
      <c r="C13" s="30" t="s">
        <v>51</v>
      </c>
      <c r="D13" s="30" t="s">
        <v>44</v>
      </c>
      <c r="E13" s="30">
        <v>87</v>
      </c>
      <c r="F13" s="30">
        <v>15</v>
      </c>
      <c r="G13" s="31">
        <f t="shared" si="0"/>
        <v>1305</v>
      </c>
      <c r="I13" s="15" t="s">
        <v>57</v>
      </c>
      <c r="J13">
        <v>3102.2999999999997</v>
      </c>
      <c r="L13" s="201"/>
      <c r="M13" s="201"/>
      <c r="N13" s="201"/>
      <c r="O13" s="201"/>
      <c r="P13" s="201"/>
      <c r="Q13" s="201"/>
      <c r="R13" s="201"/>
      <c r="S13" s="201"/>
      <c r="T13" s="201"/>
      <c r="U13" s="201"/>
      <c r="V13" s="201"/>
      <c r="W13" s="201"/>
      <c r="X13" s="201"/>
    </row>
    <row r="14" spans="1:24" x14ac:dyDescent="0.25">
      <c r="A14" s="32">
        <v>44644</v>
      </c>
      <c r="B14" s="33" t="s">
        <v>42</v>
      </c>
      <c r="C14" s="33" t="s">
        <v>45</v>
      </c>
      <c r="D14" s="33" t="s">
        <v>53</v>
      </c>
      <c r="E14" s="33">
        <v>50</v>
      </c>
      <c r="F14" s="33">
        <v>4.99</v>
      </c>
      <c r="G14" s="34">
        <f t="shared" si="0"/>
        <v>249.5</v>
      </c>
      <c r="I14" s="13" t="s">
        <v>58</v>
      </c>
      <c r="J14">
        <v>2486.7199999999998</v>
      </c>
      <c r="L14" s="201"/>
      <c r="M14" s="201"/>
      <c r="N14" s="201"/>
      <c r="O14" s="201"/>
      <c r="P14" s="201"/>
      <c r="Q14" s="201"/>
      <c r="R14" s="201"/>
      <c r="S14" s="201"/>
      <c r="T14" s="201"/>
      <c r="U14" s="201"/>
      <c r="V14" s="201"/>
      <c r="W14" s="201"/>
      <c r="X14" s="201"/>
    </row>
    <row r="15" spans="1:24" x14ac:dyDescent="0.25">
      <c r="A15" s="29">
        <v>44661</v>
      </c>
      <c r="B15" s="30" t="s">
        <v>42</v>
      </c>
      <c r="C15" s="30" t="s">
        <v>49</v>
      </c>
      <c r="D15" s="30" t="s">
        <v>46</v>
      </c>
      <c r="E15" s="30">
        <v>66</v>
      </c>
      <c r="F15" s="30">
        <v>1.99</v>
      </c>
      <c r="G15" s="31">
        <f t="shared" si="0"/>
        <v>131.34</v>
      </c>
      <c r="I15" s="15" t="s">
        <v>59</v>
      </c>
      <c r="J15">
        <v>1283.6099999999999</v>
      </c>
      <c r="L15" s="201"/>
      <c r="M15" s="201"/>
      <c r="N15" s="201"/>
      <c r="O15" s="201"/>
      <c r="P15" s="201"/>
      <c r="Q15" s="201"/>
      <c r="R15" s="201"/>
      <c r="S15" s="201"/>
      <c r="T15" s="201"/>
      <c r="U15" s="201"/>
      <c r="V15" s="201"/>
      <c r="W15" s="201"/>
      <c r="X15" s="201"/>
    </row>
    <row r="16" spans="1:24" x14ac:dyDescent="0.25">
      <c r="A16" s="32">
        <v>44695</v>
      </c>
      <c r="B16" s="33" t="s">
        <v>42</v>
      </c>
      <c r="C16" s="33" t="s">
        <v>47</v>
      </c>
      <c r="D16" s="33" t="s">
        <v>46</v>
      </c>
      <c r="E16" s="33">
        <v>53</v>
      </c>
      <c r="F16" s="33">
        <v>1.29</v>
      </c>
      <c r="G16" s="34">
        <f t="shared" si="0"/>
        <v>68.37</v>
      </c>
      <c r="I16" s="15" t="s">
        <v>60</v>
      </c>
      <c r="J16">
        <v>1203.1099999999999</v>
      </c>
      <c r="L16" s="201"/>
      <c r="M16" s="201"/>
      <c r="N16" s="201"/>
      <c r="O16" s="201"/>
      <c r="P16" s="201"/>
      <c r="Q16" s="201"/>
      <c r="R16" s="201"/>
      <c r="S16" s="201"/>
      <c r="T16" s="201"/>
      <c r="U16" s="201"/>
      <c r="V16" s="201"/>
      <c r="W16" s="201"/>
      <c r="X16" s="201"/>
    </row>
    <row r="17" spans="1:24" x14ac:dyDescent="0.25">
      <c r="A17" s="29">
        <v>44712</v>
      </c>
      <c r="B17" s="30" t="s">
        <v>42</v>
      </c>
      <c r="C17" s="30" t="s">
        <v>47</v>
      </c>
      <c r="D17" s="30" t="s">
        <v>44</v>
      </c>
      <c r="E17" s="30">
        <v>80</v>
      </c>
      <c r="F17" s="30">
        <v>8.99</v>
      </c>
      <c r="G17" s="31">
        <f t="shared" si="0"/>
        <v>719.2</v>
      </c>
      <c r="I17" s="13" t="s">
        <v>62</v>
      </c>
      <c r="J17">
        <v>19408.280000000002</v>
      </c>
      <c r="L17" s="201"/>
      <c r="M17" s="201"/>
      <c r="N17" s="201"/>
      <c r="O17" s="201"/>
      <c r="P17" s="201"/>
      <c r="Q17" s="201"/>
      <c r="R17" s="201"/>
      <c r="S17" s="201"/>
      <c r="T17" s="201"/>
      <c r="U17" s="201"/>
      <c r="V17" s="201"/>
      <c r="W17" s="201"/>
      <c r="X17" s="201"/>
    </row>
    <row r="18" spans="1:24" x14ac:dyDescent="0.25">
      <c r="A18" s="32">
        <v>44729</v>
      </c>
      <c r="B18" s="33" t="s">
        <v>42</v>
      </c>
      <c r="C18" s="33" t="s">
        <v>43</v>
      </c>
      <c r="D18" s="33" t="s">
        <v>52</v>
      </c>
      <c r="E18" s="33">
        <v>5</v>
      </c>
      <c r="F18" s="33">
        <v>125</v>
      </c>
      <c r="G18" s="34">
        <f t="shared" si="0"/>
        <v>625</v>
      </c>
      <c r="L18" s="201"/>
      <c r="M18" s="201"/>
      <c r="N18" s="201"/>
      <c r="O18" s="201"/>
      <c r="P18" s="201"/>
      <c r="Q18" s="201"/>
      <c r="R18" s="201"/>
      <c r="S18" s="201"/>
      <c r="T18" s="201"/>
      <c r="U18" s="201"/>
      <c r="V18" s="201"/>
      <c r="W18" s="201"/>
      <c r="X18" s="201"/>
    </row>
    <row r="19" spans="1:24" x14ac:dyDescent="0.25">
      <c r="A19" s="29">
        <v>44763</v>
      </c>
      <c r="B19" s="30" t="s">
        <v>42</v>
      </c>
      <c r="C19" s="30" t="s">
        <v>50</v>
      </c>
      <c r="D19" s="30" t="s">
        <v>53</v>
      </c>
      <c r="E19" s="30">
        <v>55</v>
      </c>
      <c r="F19" s="30">
        <v>12.49</v>
      </c>
      <c r="G19" s="31">
        <f t="shared" si="0"/>
        <v>686.95</v>
      </c>
      <c r="L19" s="201"/>
      <c r="M19" s="201"/>
      <c r="N19" s="201"/>
      <c r="O19" s="201"/>
      <c r="P19" s="201"/>
      <c r="Q19" s="201"/>
      <c r="R19" s="201"/>
      <c r="S19" s="201"/>
      <c r="T19" s="201"/>
      <c r="U19" s="201"/>
      <c r="V19" s="201"/>
      <c r="W19" s="201"/>
      <c r="X19" s="201"/>
    </row>
    <row r="20" spans="1:24" ht="18.75" customHeight="1" x14ac:dyDescent="0.25">
      <c r="A20" s="32">
        <v>44780</v>
      </c>
      <c r="B20" s="33" t="s">
        <v>42</v>
      </c>
      <c r="C20" s="33" t="s">
        <v>43</v>
      </c>
      <c r="D20" s="33" t="s">
        <v>53</v>
      </c>
      <c r="E20" s="33">
        <v>42</v>
      </c>
      <c r="F20" s="33">
        <v>23.95</v>
      </c>
      <c r="G20" s="34">
        <f t="shared" si="0"/>
        <v>1005.9</v>
      </c>
      <c r="I20" s="203" t="s">
        <v>213</v>
      </c>
      <c r="J20" s="203"/>
      <c r="K20" s="203"/>
      <c r="L20" s="203"/>
      <c r="M20" s="203"/>
      <c r="N20" s="203"/>
      <c r="O20" s="203"/>
    </row>
    <row r="21" spans="1:24" x14ac:dyDescent="0.25">
      <c r="A21" s="29">
        <v>44814</v>
      </c>
      <c r="B21" s="30" t="s">
        <v>42</v>
      </c>
      <c r="C21" s="30" t="s">
        <v>47</v>
      </c>
      <c r="D21" s="30" t="s">
        <v>46</v>
      </c>
      <c r="E21" s="30">
        <v>7</v>
      </c>
      <c r="F21" s="30">
        <v>1.29</v>
      </c>
      <c r="G21" s="31">
        <f t="shared" si="0"/>
        <v>9.0300000000000011</v>
      </c>
      <c r="I21" s="203" t="s">
        <v>207</v>
      </c>
      <c r="J21" s="203"/>
      <c r="K21" s="203"/>
      <c r="L21" s="203"/>
      <c r="M21" s="203"/>
      <c r="N21" s="203"/>
      <c r="O21" s="203"/>
    </row>
    <row r="22" spans="1:24" x14ac:dyDescent="0.25">
      <c r="A22" s="32">
        <v>44865</v>
      </c>
      <c r="B22" s="33" t="s">
        <v>42</v>
      </c>
      <c r="C22" s="33" t="s">
        <v>49</v>
      </c>
      <c r="D22" s="33" t="s">
        <v>46</v>
      </c>
      <c r="E22" s="33">
        <v>14</v>
      </c>
      <c r="F22" s="33">
        <v>1.29</v>
      </c>
      <c r="G22" s="34">
        <f t="shared" si="0"/>
        <v>18.060000000000002</v>
      </c>
      <c r="I22" s="203" t="s">
        <v>209</v>
      </c>
      <c r="J22" s="203"/>
      <c r="K22" s="203"/>
      <c r="L22" s="203"/>
      <c r="M22" s="203"/>
      <c r="N22" s="203"/>
      <c r="O22" s="203"/>
    </row>
    <row r="23" spans="1:24" x14ac:dyDescent="0.25">
      <c r="A23" s="29">
        <v>44882</v>
      </c>
      <c r="B23" s="30" t="s">
        <v>42</v>
      </c>
      <c r="C23" s="30" t="s">
        <v>45</v>
      </c>
      <c r="D23" s="30" t="s">
        <v>44</v>
      </c>
      <c r="E23" s="30">
        <v>11</v>
      </c>
      <c r="F23" s="30">
        <v>4.99</v>
      </c>
      <c r="G23" s="31">
        <f t="shared" si="0"/>
        <v>54.89</v>
      </c>
      <c r="I23" s="204" t="s">
        <v>208</v>
      </c>
      <c r="J23" s="204"/>
      <c r="K23" s="204"/>
      <c r="L23" s="204"/>
      <c r="M23" s="204"/>
      <c r="N23" s="204"/>
      <c r="O23" s="204"/>
    </row>
    <row r="24" spans="1:24" x14ac:dyDescent="0.25">
      <c r="A24" s="32">
        <v>44899</v>
      </c>
      <c r="B24" s="33" t="s">
        <v>42</v>
      </c>
      <c r="C24" s="33" t="s">
        <v>45</v>
      </c>
      <c r="D24" s="33" t="s">
        <v>44</v>
      </c>
      <c r="E24" s="33">
        <v>94</v>
      </c>
      <c r="F24" s="33">
        <v>19.989999999999998</v>
      </c>
      <c r="G24" s="34">
        <f t="shared" si="0"/>
        <v>1879.06</v>
      </c>
      <c r="I24" s="203"/>
      <c r="J24" s="203"/>
      <c r="K24" s="203"/>
      <c r="L24" s="203"/>
      <c r="M24" s="203"/>
      <c r="N24" s="203"/>
    </row>
    <row r="25" spans="1:24" x14ac:dyDescent="0.25">
      <c r="A25" s="29">
        <v>44916</v>
      </c>
      <c r="B25" s="30" t="s">
        <v>42</v>
      </c>
      <c r="C25" s="30" t="s">
        <v>49</v>
      </c>
      <c r="D25" s="30" t="s">
        <v>44</v>
      </c>
      <c r="E25" s="30">
        <v>28</v>
      </c>
      <c r="F25" s="30">
        <v>4.99</v>
      </c>
      <c r="G25" s="31">
        <f t="shared" si="0"/>
        <v>139.72</v>
      </c>
      <c r="I25" s="203"/>
      <c r="J25" s="203"/>
      <c r="K25" s="203"/>
      <c r="L25" s="203"/>
      <c r="M25" s="203"/>
      <c r="N25" s="203"/>
    </row>
    <row r="26" spans="1:24" x14ac:dyDescent="0.25">
      <c r="A26" s="32">
        <v>44202</v>
      </c>
      <c r="B26" s="33" t="s">
        <v>54</v>
      </c>
      <c r="C26" s="33" t="s">
        <v>55</v>
      </c>
      <c r="D26" s="33" t="s">
        <v>46</v>
      </c>
      <c r="E26" s="33">
        <v>95</v>
      </c>
      <c r="F26" s="33">
        <v>1.99</v>
      </c>
      <c r="G26" s="34">
        <f t="shared" si="0"/>
        <v>189.05</v>
      </c>
      <c r="I26" s="203"/>
      <c r="J26" s="203"/>
      <c r="K26" s="203"/>
      <c r="L26" s="203"/>
      <c r="M26" s="203"/>
      <c r="N26" s="203"/>
    </row>
    <row r="27" spans="1:24" x14ac:dyDescent="0.25">
      <c r="A27" s="29">
        <v>44287</v>
      </c>
      <c r="B27" s="30" t="s">
        <v>54</v>
      </c>
      <c r="C27" s="30" t="s">
        <v>55</v>
      </c>
      <c r="D27" s="30" t="s">
        <v>44</v>
      </c>
      <c r="E27" s="30">
        <v>60</v>
      </c>
      <c r="F27" s="30">
        <v>4.99</v>
      </c>
      <c r="G27" s="31">
        <f t="shared" si="0"/>
        <v>299.40000000000003</v>
      </c>
      <c r="I27" s="203"/>
      <c r="J27" s="203"/>
      <c r="K27" s="203"/>
      <c r="L27" s="203"/>
      <c r="M27" s="203"/>
      <c r="N27" s="203"/>
    </row>
    <row r="28" spans="1:24" x14ac:dyDescent="0.25">
      <c r="A28" s="32">
        <v>44355</v>
      </c>
      <c r="B28" s="33" t="s">
        <v>54</v>
      </c>
      <c r="C28" s="33" t="s">
        <v>55</v>
      </c>
      <c r="D28" s="33" t="s">
        <v>44</v>
      </c>
      <c r="E28" s="33">
        <v>60</v>
      </c>
      <c r="F28" s="33">
        <v>8.99</v>
      </c>
      <c r="G28" s="34">
        <f t="shared" si="0"/>
        <v>539.4</v>
      </c>
      <c r="I28" s="203"/>
      <c r="J28" s="203"/>
      <c r="K28" s="203"/>
      <c r="L28" s="203"/>
      <c r="M28" s="203"/>
      <c r="N28" s="203"/>
    </row>
    <row r="29" spans="1:24" x14ac:dyDescent="0.25">
      <c r="A29" s="29">
        <v>44389</v>
      </c>
      <c r="B29" s="30" t="s">
        <v>54</v>
      </c>
      <c r="C29" s="30" t="s">
        <v>56</v>
      </c>
      <c r="D29" s="30" t="s">
        <v>44</v>
      </c>
      <c r="E29" s="30">
        <v>29</v>
      </c>
      <c r="F29" s="30">
        <v>1.99</v>
      </c>
      <c r="G29" s="31">
        <f t="shared" si="0"/>
        <v>57.71</v>
      </c>
      <c r="I29" s="203"/>
      <c r="J29" s="203"/>
      <c r="K29" s="203"/>
      <c r="L29" s="203"/>
      <c r="M29" s="203"/>
      <c r="N29" s="203"/>
    </row>
    <row r="30" spans="1:24" x14ac:dyDescent="0.25">
      <c r="A30" s="32">
        <v>44406</v>
      </c>
      <c r="B30" s="33" t="s">
        <v>54</v>
      </c>
      <c r="C30" s="33" t="s">
        <v>57</v>
      </c>
      <c r="D30" s="33" t="s">
        <v>44</v>
      </c>
      <c r="E30" s="33">
        <v>81</v>
      </c>
      <c r="F30" s="33">
        <v>19.989999999999998</v>
      </c>
      <c r="G30" s="34">
        <f t="shared" si="0"/>
        <v>1619.1899999999998</v>
      </c>
      <c r="I30" s="203"/>
      <c r="J30" s="203"/>
      <c r="K30" s="203"/>
      <c r="L30" s="203"/>
      <c r="M30" s="203"/>
      <c r="N30" s="203"/>
    </row>
    <row r="31" spans="1:24" x14ac:dyDescent="0.25">
      <c r="A31" s="29">
        <v>44423</v>
      </c>
      <c r="B31" s="30" t="s">
        <v>54</v>
      </c>
      <c r="C31" s="30" t="s">
        <v>55</v>
      </c>
      <c r="D31" s="30" t="s">
        <v>46</v>
      </c>
      <c r="E31" s="30">
        <v>35</v>
      </c>
      <c r="F31" s="30">
        <v>4.99</v>
      </c>
      <c r="G31" s="31">
        <f t="shared" si="0"/>
        <v>174.65</v>
      </c>
      <c r="I31" s="203"/>
      <c r="J31" s="203"/>
      <c r="K31" s="203"/>
      <c r="L31" s="203"/>
      <c r="M31" s="203"/>
      <c r="N31" s="203"/>
    </row>
    <row r="32" spans="1:24" x14ac:dyDescent="0.25">
      <c r="A32" s="32">
        <v>44457</v>
      </c>
      <c r="B32" s="33" t="s">
        <v>54</v>
      </c>
      <c r="C32" s="33" t="s">
        <v>55</v>
      </c>
      <c r="D32" s="33" t="s">
        <v>53</v>
      </c>
      <c r="E32" s="33">
        <v>16</v>
      </c>
      <c r="F32" s="33">
        <v>15.99</v>
      </c>
      <c r="G32" s="34">
        <f t="shared" si="0"/>
        <v>255.84</v>
      </c>
      <c r="I32" s="203"/>
      <c r="J32" s="203"/>
      <c r="K32" s="203"/>
      <c r="L32" s="203"/>
      <c r="M32" s="203"/>
      <c r="N32" s="203"/>
    </row>
    <row r="33" spans="1:16" x14ac:dyDescent="0.25">
      <c r="A33" s="29">
        <v>44491</v>
      </c>
      <c r="B33" s="30" t="s">
        <v>54</v>
      </c>
      <c r="C33" s="30" t="s">
        <v>55</v>
      </c>
      <c r="D33" s="30" t="s">
        <v>48</v>
      </c>
      <c r="E33" s="30">
        <v>64</v>
      </c>
      <c r="F33" s="30">
        <v>8.99</v>
      </c>
      <c r="G33" s="31">
        <f t="shared" si="0"/>
        <v>575.36</v>
      </c>
      <c r="I33" s="203"/>
      <c r="J33" s="203"/>
      <c r="K33" s="203"/>
      <c r="L33" s="203"/>
      <c r="M33" s="203"/>
      <c r="N33" s="203"/>
    </row>
    <row r="34" spans="1:16" x14ac:dyDescent="0.25">
      <c r="A34" s="32">
        <v>44508</v>
      </c>
      <c r="B34" s="33" t="s">
        <v>54</v>
      </c>
      <c r="C34" s="33" t="s">
        <v>57</v>
      </c>
      <c r="D34" s="33" t="s">
        <v>48</v>
      </c>
      <c r="E34" s="33">
        <v>15</v>
      </c>
      <c r="F34" s="33">
        <v>19.989999999999998</v>
      </c>
      <c r="G34" s="34">
        <f t="shared" si="0"/>
        <v>299.84999999999997</v>
      </c>
      <c r="I34" s="203"/>
      <c r="J34" s="203"/>
      <c r="K34" s="203"/>
      <c r="L34" s="203"/>
      <c r="M34" s="203"/>
      <c r="N34" s="203"/>
    </row>
    <row r="35" spans="1:16" x14ac:dyDescent="0.25">
      <c r="A35" s="29">
        <v>44559</v>
      </c>
      <c r="B35" s="30" t="s">
        <v>54</v>
      </c>
      <c r="C35" s="30" t="s">
        <v>57</v>
      </c>
      <c r="D35" s="30" t="s">
        <v>53</v>
      </c>
      <c r="E35" s="30">
        <v>74</v>
      </c>
      <c r="F35" s="30">
        <v>15.99</v>
      </c>
      <c r="G35" s="31">
        <f t="shared" si="0"/>
        <v>1183.26</v>
      </c>
      <c r="I35" s="202"/>
      <c r="J35" s="202"/>
      <c r="K35" s="202"/>
      <c r="L35" s="202"/>
      <c r="M35" s="202"/>
      <c r="N35" s="202"/>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201"/>
      <c r="J40" s="201"/>
      <c r="K40" s="201"/>
      <c r="L40" s="201"/>
      <c r="M40" s="201"/>
      <c r="N40" s="201"/>
      <c r="O40" s="201"/>
      <c r="P40" s="201"/>
    </row>
    <row r="41" spans="1:16" x14ac:dyDescent="0.25">
      <c r="A41" s="29">
        <v>44627</v>
      </c>
      <c r="B41" s="30" t="s">
        <v>58</v>
      </c>
      <c r="C41" s="30" t="s">
        <v>59</v>
      </c>
      <c r="D41" s="30" t="s">
        <v>44</v>
      </c>
      <c r="E41" s="30">
        <v>7</v>
      </c>
      <c r="F41" s="30">
        <v>19.989999999999998</v>
      </c>
      <c r="G41" s="31">
        <f t="shared" si="0"/>
        <v>139.92999999999998</v>
      </c>
      <c r="I41" s="203"/>
      <c r="J41" s="203"/>
      <c r="K41" s="203"/>
      <c r="L41" s="203"/>
      <c r="M41" s="203"/>
      <c r="N41" s="203"/>
      <c r="O41" s="203"/>
      <c r="P41" s="203"/>
    </row>
    <row r="42" spans="1:16" ht="15" customHeight="1" x14ac:dyDescent="0.25">
      <c r="A42" s="32">
        <v>44797</v>
      </c>
      <c r="B42" s="33" t="s">
        <v>58</v>
      </c>
      <c r="C42" s="33" t="s">
        <v>59</v>
      </c>
      <c r="D42" s="33" t="s">
        <v>52</v>
      </c>
      <c r="E42" s="33">
        <v>3</v>
      </c>
      <c r="F42" s="33">
        <v>275</v>
      </c>
      <c r="G42" s="34">
        <f t="shared" si="0"/>
        <v>825</v>
      </c>
      <c r="I42" s="201" t="s">
        <v>210</v>
      </c>
      <c r="J42" s="201"/>
      <c r="K42" s="201"/>
      <c r="L42" s="201"/>
      <c r="M42" s="201"/>
      <c r="N42" s="201"/>
      <c r="O42" s="201"/>
      <c r="P42" s="201"/>
    </row>
    <row r="43" spans="1:16" x14ac:dyDescent="0.25">
      <c r="A43" s="29">
        <v>44831</v>
      </c>
      <c r="B43" s="30" t="s">
        <v>58</v>
      </c>
      <c r="C43" s="30" t="s">
        <v>59</v>
      </c>
      <c r="D43" s="30" t="s">
        <v>48</v>
      </c>
      <c r="E43" s="30">
        <v>76</v>
      </c>
      <c r="F43" s="30">
        <v>1.99</v>
      </c>
      <c r="G43" s="31">
        <f t="shared" si="0"/>
        <v>151.24</v>
      </c>
      <c r="I43" s="203" t="s">
        <v>211</v>
      </c>
      <c r="J43" s="203"/>
      <c r="K43" s="203"/>
      <c r="L43" s="203"/>
      <c r="M43" s="203"/>
      <c r="N43" s="203"/>
      <c r="O43" s="203"/>
      <c r="P43" s="203"/>
    </row>
    <row r="44" spans="1:16" ht="15" customHeight="1" x14ac:dyDescent="0.25">
      <c r="A44" s="32">
        <v>44848</v>
      </c>
      <c r="B44" s="33" t="s">
        <v>58</v>
      </c>
      <c r="C44" s="33" t="s">
        <v>60</v>
      </c>
      <c r="D44" s="33" t="s">
        <v>44</v>
      </c>
      <c r="E44" s="33">
        <v>57</v>
      </c>
      <c r="F44" s="33">
        <v>19.989999999999998</v>
      </c>
      <c r="G44" s="34">
        <f t="shared" si="0"/>
        <v>1139.4299999999998</v>
      </c>
      <c r="I44" s="205" t="s">
        <v>212</v>
      </c>
      <c r="J44" s="205"/>
      <c r="K44" s="205"/>
      <c r="L44" s="205"/>
      <c r="M44" s="205"/>
      <c r="N44" s="205"/>
      <c r="O44" s="205"/>
      <c r="P44" s="205"/>
    </row>
    <row r="45" spans="1:16" ht="15.75" thickBot="1" x14ac:dyDescent="0.3">
      <c r="A45" s="35"/>
      <c r="B45" s="36"/>
      <c r="C45" s="36"/>
      <c r="D45" s="36"/>
      <c r="E45" s="36"/>
      <c r="F45" s="36"/>
      <c r="G45" s="37"/>
      <c r="I45" s="203"/>
      <c r="J45" s="203"/>
      <c r="K45" s="203"/>
      <c r="L45" s="203"/>
      <c r="M45" s="203"/>
      <c r="N45" s="203"/>
      <c r="O45" s="203"/>
      <c r="P45" s="203"/>
    </row>
    <row r="46" spans="1:16" x14ac:dyDescent="0.25">
      <c r="A46"/>
      <c r="I46" s="203"/>
      <c r="J46" s="203"/>
      <c r="K46" s="203"/>
      <c r="L46" s="203"/>
      <c r="M46" s="203"/>
      <c r="N46" s="203"/>
      <c r="O46" s="203"/>
      <c r="P46" s="203"/>
    </row>
    <row r="47" spans="1:16" x14ac:dyDescent="0.25">
      <c r="A47"/>
      <c r="I47" s="203"/>
      <c r="J47" s="203"/>
      <c r="K47" s="203"/>
      <c r="L47" s="203"/>
      <c r="M47" s="203"/>
      <c r="N47" s="203"/>
      <c r="O47" s="203"/>
      <c r="P47" s="203"/>
    </row>
    <row r="48" spans="1:16" x14ac:dyDescent="0.25">
      <c r="A48"/>
      <c r="I48" s="203"/>
      <c r="J48" s="203"/>
      <c r="K48" s="203"/>
      <c r="L48" s="203"/>
      <c r="M48" s="203"/>
      <c r="N48" s="203"/>
      <c r="O48" s="203"/>
      <c r="P48" s="203"/>
    </row>
    <row r="49" spans="1:16" x14ac:dyDescent="0.25">
      <c r="A49"/>
      <c r="I49" s="203"/>
      <c r="J49" s="203"/>
      <c r="K49" s="203"/>
      <c r="L49" s="203"/>
      <c r="M49" s="203"/>
      <c r="N49" s="203"/>
      <c r="O49" s="203"/>
      <c r="P49" s="203"/>
    </row>
    <row r="50" spans="1:16" x14ac:dyDescent="0.25">
      <c r="A50"/>
      <c r="I50" s="203"/>
      <c r="J50" s="203"/>
      <c r="K50" s="203"/>
      <c r="L50" s="203"/>
      <c r="M50" s="203"/>
      <c r="N50" s="203"/>
      <c r="O50" s="203"/>
      <c r="P50" s="203"/>
    </row>
    <row r="51" spans="1:16" x14ac:dyDescent="0.25">
      <c r="A51"/>
      <c r="I51" s="203"/>
      <c r="J51" s="203"/>
      <c r="K51" s="203"/>
      <c r="L51" s="203"/>
      <c r="M51" s="203"/>
      <c r="N51" s="203"/>
      <c r="O51" s="203"/>
      <c r="P51" s="203"/>
    </row>
    <row r="52" spans="1:16" x14ac:dyDescent="0.25">
      <c r="A52"/>
      <c r="I52" s="203"/>
      <c r="J52" s="203"/>
      <c r="K52" s="203"/>
      <c r="L52" s="203"/>
      <c r="M52" s="203"/>
      <c r="N52" s="203"/>
      <c r="O52" s="203"/>
      <c r="P52" s="203"/>
    </row>
    <row r="53" spans="1:16" x14ac:dyDescent="0.25">
      <c r="A53"/>
      <c r="I53" s="202"/>
      <c r="J53" s="202"/>
      <c r="K53" s="202"/>
      <c r="L53" s="202"/>
      <c r="M53" s="202"/>
      <c r="N53" s="202"/>
      <c r="O53" s="202"/>
      <c r="P53" s="202"/>
    </row>
    <row r="54" spans="1:16" x14ac:dyDescent="0.25">
      <c r="A54"/>
    </row>
    <row r="55" spans="1:16" x14ac:dyDescent="0.25">
      <c r="A55"/>
    </row>
    <row r="56" spans="1:16" x14ac:dyDescent="0.25">
      <c r="A56"/>
    </row>
  </sheetData>
  <mergeCells count="49">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 ref="I28:N28"/>
    <mergeCell ref="I29:N29"/>
    <mergeCell ref="I30:N30"/>
    <mergeCell ref="I31:N31"/>
    <mergeCell ref="I32:N32"/>
    <mergeCell ref="I34:N34"/>
    <mergeCell ref="I35:N35"/>
    <mergeCell ref="I42:P42"/>
    <mergeCell ref="I40:P40"/>
    <mergeCell ref="I41:P41"/>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L18:X18"/>
    <mergeCell ref="L19:X19"/>
    <mergeCell ref="L13:X13"/>
    <mergeCell ref="L14:X14"/>
    <mergeCell ref="L15:X15"/>
    <mergeCell ref="L16:X16"/>
    <mergeCell ref="L17:X17"/>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00B050"/>
  </sheetPr>
  <dimension ref="A1:M84"/>
  <sheetViews>
    <sheetView zoomScaleNormal="100" workbookViewId="0">
      <selection activeCell="H89" sqref="H89"/>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212" t="s">
        <v>104</v>
      </c>
      <c r="D1" s="212"/>
      <c r="E1" s="212"/>
      <c r="F1" s="212"/>
      <c r="G1" s="212"/>
    </row>
    <row r="2" spans="3:13" ht="15.75" thickBot="1" x14ac:dyDescent="0.3">
      <c r="C2" s="54" t="s">
        <v>111</v>
      </c>
      <c r="D2" s="55" t="s">
        <v>105</v>
      </c>
      <c r="E2" s="55" t="s">
        <v>106</v>
      </c>
      <c r="F2" s="56" t="s">
        <v>110</v>
      </c>
      <c r="L2">
        <v>1</v>
      </c>
      <c r="M2" t="s">
        <v>116</v>
      </c>
    </row>
    <row r="3" spans="3:13" x14ac:dyDescent="0.25">
      <c r="C3" s="50">
        <v>1</v>
      </c>
      <c r="D3" s="51" t="s">
        <v>57</v>
      </c>
      <c r="E3" s="52" t="s">
        <v>107</v>
      </c>
      <c r="F3" s="53">
        <v>58</v>
      </c>
      <c r="L3">
        <v>2</v>
      </c>
      <c r="M3" t="s">
        <v>112</v>
      </c>
    </row>
    <row r="4" spans="3:13" x14ac:dyDescent="0.25">
      <c r="C4" s="43">
        <v>2</v>
      </c>
      <c r="D4" s="45" t="s">
        <v>55</v>
      </c>
      <c r="E4" s="45" t="s">
        <v>107</v>
      </c>
      <c r="F4" s="46">
        <v>43</v>
      </c>
      <c r="L4">
        <v>3</v>
      </c>
      <c r="M4" t="s">
        <v>117</v>
      </c>
    </row>
    <row r="5" spans="3:13" x14ac:dyDescent="0.25">
      <c r="C5" s="43">
        <v>3</v>
      </c>
      <c r="D5" s="44" t="s">
        <v>56</v>
      </c>
      <c r="E5" s="45" t="s">
        <v>108</v>
      </c>
      <c r="F5" s="46">
        <v>65</v>
      </c>
      <c r="L5">
        <v>4</v>
      </c>
      <c r="M5" s="57" t="s">
        <v>113</v>
      </c>
    </row>
    <row r="6" spans="3:13" x14ac:dyDescent="0.25">
      <c r="C6" s="43">
        <v>4</v>
      </c>
      <c r="D6" s="45" t="s">
        <v>60</v>
      </c>
      <c r="E6" s="45" t="s">
        <v>108</v>
      </c>
      <c r="F6" s="46">
        <v>100</v>
      </c>
    </row>
    <row r="7" spans="3:13" x14ac:dyDescent="0.25">
      <c r="C7" s="43">
        <v>5</v>
      </c>
      <c r="D7" s="44" t="s">
        <v>59</v>
      </c>
      <c r="E7" s="45" t="s">
        <v>109</v>
      </c>
      <c r="F7" s="46">
        <v>45</v>
      </c>
    </row>
    <row r="8" spans="3:13" ht="15.75" thickBot="1" x14ac:dyDescent="0.3">
      <c r="C8" s="47">
        <v>6</v>
      </c>
      <c r="D8" s="48" t="s">
        <v>47</v>
      </c>
      <c r="E8" s="48" t="s">
        <v>109</v>
      </c>
      <c r="F8" s="49">
        <v>80</v>
      </c>
    </row>
    <row r="18" spans="3:13" ht="30" customHeight="1" thickBot="1" x14ac:dyDescent="0.3">
      <c r="C18" s="212" t="s">
        <v>139</v>
      </c>
      <c r="D18" s="212"/>
      <c r="E18" s="212"/>
      <c r="F18" s="212"/>
      <c r="G18" s="212"/>
      <c r="M18" s="59" t="s">
        <v>138</v>
      </c>
    </row>
    <row r="19" spans="3:13" ht="15.75" thickBot="1" x14ac:dyDescent="0.3">
      <c r="C19" s="68" t="s">
        <v>105</v>
      </c>
      <c r="D19" s="69" t="s">
        <v>124</v>
      </c>
      <c r="E19" s="69" t="s">
        <v>125</v>
      </c>
      <c r="F19" s="69" t="s">
        <v>126</v>
      </c>
      <c r="G19" s="69" t="s">
        <v>127</v>
      </c>
      <c r="H19" s="69" t="s">
        <v>128</v>
      </c>
      <c r="I19" s="69" t="s">
        <v>129</v>
      </c>
      <c r="J19" s="70" t="s">
        <v>110</v>
      </c>
      <c r="K19" s="67" t="s">
        <v>155</v>
      </c>
      <c r="M19" t="s">
        <v>118</v>
      </c>
    </row>
    <row r="20" spans="3:13" x14ac:dyDescent="0.25">
      <c r="C20" s="42" t="s">
        <v>131</v>
      </c>
      <c r="D20" s="58" t="s">
        <v>109</v>
      </c>
      <c r="E20" s="58">
        <v>20</v>
      </c>
      <c r="F20" s="58">
        <v>10</v>
      </c>
      <c r="G20" s="58">
        <v>55</v>
      </c>
      <c r="H20" s="58">
        <v>15</v>
      </c>
      <c r="I20" s="58">
        <v>20</v>
      </c>
      <c r="J20" s="71">
        <v>80</v>
      </c>
      <c r="K20" s="72">
        <v>45349</v>
      </c>
      <c r="M20" t="s">
        <v>119</v>
      </c>
    </row>
    <row r="21" spans="3:13" x14ac:dyDescent="0.25">
      <c r="C21" s="43" t="s">
        <v>132</v>
      </c>
      <c r="D21" s="45" t="s">
        <v>107</v>
      </c>
      <c r="E21" s="45">
        <v>95</v>
      </c>
      <c r="F21" s="45">
        <v>125</v>
      </c>
      <c r="G21" s="45">
        <v>79</v>
      </c>
      <c r="H21" s="45">
        <v>60</v>
      </c>
      <c r="I21" s="45">
        <v>100</v>
      </c>
      <c r="J21" s="65">
        <v>81</v>
      </c>
      <c r="K21" s="73">
        <v>45617</v>
      </c>
      <c r="M21" t="s">
        <v>120</v>
      </c>
    </row>
    <row r="22" spans="3:13" x14ac:dyDescent="0.25">
      <c r="C22" s="43" t="s">
        <v>133</v>
      </c>
      <c r="D22" s="45" t="s">
        <v>109</v>
      </c>
      <c r="E22" s="45">
        <v>130</v>
      </c>
      <c r="F22" s="45">
        <v>85</v>
      </c>
      <c r="G22" s="45">
        <v>80</v>
      </c>
      <c r="H22" s="45">
        <v>85</v>
      </c>
      <c r="I22" s="45">
        <v>95</v>
      </c>
      <c r="J22" s="65">
        <v>60</v>
      </c>
      <c r="K22" s="73">
        <v>45617</v>
      </c>
      <c r="M22" t="s">
        <v>121</v>
      </c>
    </row>
    <row r="23" spans="3:13" x14ac:dyDescent="0.25">
      <c r="C23" s="43" t="s">
        <v>134</v>
      </c>
      <c r="D23" s="45" t="s">
        <v>108</v>
      </c>
      <c r="E23" s="45">
        <v>48</v>
      </c>
      <c r="F23" s="45">
        <v>48</v>
      </c>
      <c r="G23" s="45">
        <v>48</v>
      </c>
      <c r="H23" s="45">
        <v>48</v>
      </c>
      <c r="I23" s="45">
        <v>48</v>
      </c>
      <c r="J23" s="65">
        <v>48</v>
      </c>
      <c r="K23" s="73">
        <v>45563</v>
      </c>
      <c r="M23" t="s">
        <v>122</v>
      </c>
    </row>
    <row r="24" spans="3:13" x14ac:dyDescent="0.25">
      <c r="C24" s="43" t="s">
        <v>135</v>
      </c>
      <c r="D24" s="45" t="s">
        <v>108</v>
      </c>
      <c r="E24" s="45">
        <v>55</v>
      </c>
      <c r="F24" s="45">
        <v>55</v>
      </c>
      <c r="G24" s="45">
        <v>50</v>
      </c>
      <c r="H24" s="45">
        <v>45</v>
      </c>
      <c r="I24" s="45">
        <v>65</v>
      </c>
      <c r="J24" s="65">
        <v>55</v>
      </c>
      <c r="K24" s="73">
        <v>45553</v>
      </c>
      <c r="M24" t="s">
        <v>123</v>
      </c>
    </row>
    <row r="25" spans="3:13" x14ac:dyDescent="0.25">
      <c r="C25" s="43" t="s">
        <v>136</v>
      </c>
      <c r="D25" s="45" t="s">
        <v>109</v>
      </c>
      <c r="E25" s="45">
        <v>130</v>
      </c>
      <c r="F25" s="45">
        <v>65</v>
      </c>
      <c r="G25" s="45">
        <v>60</v>
      </c>
      <c r="H25" s="45">
        <v>110</v>
      </c>
      <c r="I25" s="45">
        <v>95</v>
      </c>
      <c r="J25" s="65">
        <v>65</v>
      </c>
      <c r="K25" s="73">
        <v>45577</v>
      </c>
    </row>
    <row r="26" spans="3:13" ht="18" customHeight="1" thickBot="1" x14ac:dyDescent="0.3">
      <c r="C26" s="47" t="s">
        <v>137</v>
      </c>
      <c r="D26" s="48" t="s">
        <v>130</v>
      </c>
      <c r="E26" s="48">
        <v>65</v>
      </c>
      <c r="F26" s="48">
        <v>65</v>
      </c>
      <c r="G26" s="48">
        <v>60</v>
      </c>
      <c r="H26" s="48">
        <v>110</v>
      </c>
      <c r="I26" s="48">
        <v>95</v>
      </c>
      <c r="J26" s="66">
        <v>130</v>
      </c>
      <c r="K26" s="74">
        <v>45316</v>
      </c>
      <c r="L26" s="61"/>
      <c r="M26" s="64" t="s">
        <v>143</v>
      </c>
    </row>
    <row r="27" spans="3:13" ht="15.75" thickBot="1" x14ac:dyDescent="0.3">
      <c r="L27" s="61"/>
      <c r="M27" s="63" t="s">
        <v>144</v>
      </c>
    </row>
    <row r="28" spans="3:13" x14ac:dyDescent="0.25">
      <c r="L28" s="61">
        <v>1</v>
      </c>
      <c r="M28" t="s">
        <v>140</v>
      </c>
    </row>
    <row r="29" spans="3:13" x14ac:dyDescent="0.25">
      <c r="C29" s="60" t="s">
        <v>149</v>
      </c>
      <c r="D29" s="61">
        <v>55</v>
      </c>
      <c r="E29" s="62" t="s">
        <v>154</v>
      </c>
      <c r="L29" s="5">
        <v>2</v>
      </c>
      <c r="M29" t="s">
        <v>141</v>
      </c>
    </row>
    <row r="30" spans="3:13" x14ac:dyDescent="0.25">
      <c r="C30" s="60" t="s">
        <v>150</v>
      </c>
      <c r="D30" s="61">
        <v>50</v>
      </c>
      <c r="L30" s="61">
        <v>3</v>
      </c>
      <c r="M30" t="s">
        <v>145</v>
      </c>
    </row>
    <row r="31" spans="3:13" x14ac:dyDescent="0.25">
      <c r="C31" s="60" t="s">
        <v>151</v>
      </c>
      <c r="D31" s="61">
        <v>75</v>
      </c>
      <c r="L31" s="5">
        <v>4</v>
      </c>
      <c r="M31" t="s">
        <v>146</v>
      </c>
    </row>
    <row r="32" spans="3:13" x14ac:dyDescent="0.25">
      <c r="C32" s="60" t="s">
        <v>152</v>
      </c>
      <c r="D32" s="61" t="s">
        <v>153</v>
      </c>
      <c r="L32" s="5">
        <v>6</v>
      </c>
      <c r="M32" t="s">
        <v>142</v>
      </c>
    </row>
    <row r="33" spans="3:13" x14ac:dyDescent="0.25">
      <c r="C33" s="60"/>
      <c r="L33" s="61">
        <v>7</v>
      </c>
      <c r="M33" t="s">
        <v>147</v>
      </c>
    </row>
    <row r="34" spans="3:13" ht="15.75" thickBot="1" x14ac:dyDescent="0.3">
      <c r="C34" s="59" t="s">
        <v>158</v>
      </c>
      <c r="D34" s="213" t="s">
        <v>159</v>
      </c>
      <c r="E34" s="213"/>
      <c r="L34" s="5">
        <v>8</v>
      </c>
      <c r="M34" t="s">
        <v>148</v>
      </c>
    </row>
    <row r="35" spans="3:13" x14ac:dyDescent="0.25">
      <c r="C35" s="60" t="s">
        <v>156</v>
      </c>
      <c r="D35" s="72">
        <v>45349</v>
      </c>
    </row>
    <row r="36" spans="3:13" ht="15.75" thickBot="1" x14ac:dyDescent="0.3">
      <c r="C36" s="60" t="s">
        <v>157</v>
      </c>
      <c r="D36" s="74">
        <v>45316</v>
      </c>
    </row>
    <row r="39" spans="3:13" ht="23.25" customHeight="1" thickBot="1" x14ac:dyDescent="0.3">
      <c r="C39" s="212" t="s">
        <v>161</v>
      </c>
      <c r="D39" s="212"/>
      <c r="E39" s="212"/>
      <c r="F39" s="212"/>
      <c r="G39" s="212"/>
    </row>
    <row r="40" spans="3:13" ht="25.5" customHeight="1" thickBot="1" x14ac:dyDescent="0.3">
      <c r="C40" s="91" t="s">
        <v>105</v>
      </c>
      <c r="D40" s="92" t="s">
        <v>124</v>
      </c>
      <c r="E40" s="93" t="s">
        <v>199</v>
      </c>
      <c r="F40" s="94" t="s">
        <v>198</v>
      </c>
      <c r="G40" s="94" t="s">
        <v>200</v>
      </c>
      <c r="H40" s="95" t="s">
        <v>201</v>
      </c>
    </row>
    <row r="41" spans="3:13" x14ac:dyDescent="0.25">
      <c r="C41" s="80" t="s">
        <v>167</v>
      </c>
      <c r="D41" s="81" t="s">
        <v>107</v>
      </c>
      <c r="E41" s="83">
        <v>45</v>
      </c>
      <c r="F41" s="88">
        <v>70</v>
      </c>
      <c r="G41" s="88">
        <v>20</v>
      </c>
      <c r="H41" s="87">
        <v>80</v>
      </c>
      <c r="K41" s="211" t="s">
        <v>199</v>
      </c>
      <c r="L41" s="211"/>
    </row>
    <row r="42" spans="3:13" x14ac:dyDescent="0.25">
      <c r="C42" s="75" t="s">
        <v>168</v>
      </c>
      <c r="D42" s="1" t="s">
        <v>107</v>
      </c>
      <c r="E42" s="84">
        <v>60</v>
      </c>
      <c r="F42" s="89">
        <v>42</v>
      </c>
      <c r="G42" s="89">
        <v>35</v>
      </c>
      <c r="H42" s="85">
        <v>65</v>
      </c>
      <c r="K42" s="202" t="s">
        <v>195</v>
      </c>
      <c r="L42" s="202"/>
      <c r="M42" t="s">
        <v>120</v>
      </c>
    </row>
    <row r="43" spans="3:13" x14ac:dyDescent="0.25">
      <c r="C43" s="75" t="s">
        <v>169</v>
      </c>
      <c r="D43" s="1" t="s">
        <v>107</v>
      </c>
      <c r="E43" s="84">
        <v>80</v>
      </c>
      <c r="F43" s="89">
        <v>67</v>
      </c>
      <c r="G43" s="89">
        <v>45</v>
      </c>
      <c r="H43" s="85">
        <v>89</v>
      </c>
      <c r="K43" s="202" t="s">
        <v>194</v>
      </c>
      <c r="L43" s="202"/>
      <c r="M43" t="s">
        <v>118</v>
      </c>
    </row>
    <row r="44" spans="3:13" x14ac:dyDescent="0.25">
      <c r="C44" s="75" t="s">
        <v>170</v>
      </c>
      <c r="D44" s="1" t="s">
        <v>108</v>
      </c>
      <c r="E44" s="84">
        <v>65</v>
      </c>
      <c r="F44" s="89">
        <v>50</v>
      </c>
      <c r="G44" s="89">
        <v>90</v>
      </c>
      <c r="H44" s="85">
        <v>100</v>
      </c>
    </row>
    <row r="45" spans="3:13" x14ac:dyDescent="0.25">
      <c r="C45" s="75" t="s">
        <v>171</v>
      </c>
      <c r="D45" s="1" t="s">
        <v>108</v>
      </c>
      <c r="E45" s="84">
        <v>80</v>
      </c>
      <c r="F45" s="89">
        <v>75</v>
      </c>
      <c r="G45" s="89">
        <v>105</v>
      </c>
      <c r="H45" s="85">
        <v>45</v>
      </c>
      <c r="K45" s="211" t="s">
        <v>204</v>
      </c>
      <c r="L45" s="211"/>
      <c r="M45" t="s">
        <v>203</v>
      </c>
    </row>
    <row r="46" spans="3:13" x14ac:dyDescent="0.25">
      <c r="C46" s="75" t="s">
        <v>172</v>
      </c>
      <c r="D46" s="1" t="s">
        <v>108</v>
      </c>
      <c r="E46" s="84">
        <v>100</v>
      </c>
      <c r="F46" s="89">
        <v>100</v>
      </c>
      <c r="G46" s="89">
        <v>15</v>
      </c>
      <c r="H46" s="85">
        <v>67</v>
      </c>
      <c r="M46" t="s">
        <v>205</v>
      </c>
    </row>
    <row r="47" spans="3:13" x14ac:dyDescent="0.25">
      <c r="C47" s="75" t="s">
        <v>173</v>
      </c>
      <c r="D47" s="1" t="s">
        <v>109</v>
      </c>
      <c r="E47" s="84">
        <v>43</v>
      </c>
      <c r="F47" s="89">
        <v>0</v>
      </c>
      <c r="G47" s="89">
        <v>30</v>
      </c>
      <c r="H47" s="85">
        <v>80</v>
      </c>
    </row>
    <row r="48" spans="3:13" x14ac:dyDescent="0.25">
      <c r="C48" s="75" t="s">
        <v>174</v>
      </c>
      <c r="D48" s="1" t="s">
        <v>109</v>
      </c>
      <c r="E48" s="84">
        <v>58</v>
      </c>
      <c r="F48" s="89">
        <v>-40</v>
      </c>
      <c r="G48" s="89">
        <v>57</v>
      </c>
      <c r="H48" s="85">
        <v>65</v>
      </c>
    </row>
    <row r="49" spans="3:8" x14ac:dyDescent="0.25">
      <c r="C49" s="75" t="s">
        <v>175</v>
      </c>
      <c r="D49" s="1" t="s">
        <v>109</v>
      </c>
      <c r="E49" s="84">
        <v>78</v>
      </c>
      <c r="F49" s="89">
        <v>55</v>
      </c>
      <c r="G49" s="89">
        <v>35</v>
      </c>
      <c r="H49" s="85">
        <v>80</v>
      </c>
    </row>
    <row r="50" spans="3:8" x14ac:dyDescent="0.25">
      <c r="C50" s="75" t="s">
        <v>176</v>
      </c>
      <c r="D50" s="1" t="s">
        <v>162</v>
      </c>
      <c r="E50" s="84">
        <v>45</v>
      </c>
      <c r="F50" s="89">
        <v>30</v>
      </c>
      <c r="G50" s="89">
        <v>45</v>
      </c>
      <c r="H50" s="85">
        <v>98</v>
      </c>
    </row>
    <row r="51" spans="3:8" x14ac:dyDescent="0.25">
      <c r="C51" s="75" t="s">
        <v>177</v>
      </c>
      <c r="D51" s="1" t="s">
        <v>162</v>
      </c>
      <c r="E51" s="84">
        <v>30</v>
      </c>
      <c r="F51" s="89">
        <v>45</v>
      </c>
      <c r="G51" s="89">
        <v>90</v>
      </c>
      <c r="H51" s="85">
        <v>43</v>
      </c>
    </row>
    <row r="52" spans="3:8" x14ac:dyDescent="0.25">
      <c r="C52" s="75" t="s">
        <v>178</v>
      </c>
      <c r="D52" s="1" t="s">
        <v>162</v>
      </c>
      <c r="E52" s="84">
        <v>70</v>
      </c>
      <c r="F52" s="89">
        <v>56</v>
      </c>
      <c r="G52" s="89">
        <v>100</v>
      </c>
      <c r="H52" s="85">
        <v>58</v>
      </c>
    </row>
    <row r="53" spans="3:8" x14ac:dyDescent="0.25">
      <c r="C53" s="75" t="s">
        <v>179</v>
      </c>
      <c r="D53" s="1" t="s">
        <v>162</v>
      </c>
      <c r="E53" s="84">
        <v>50</v>
      </c>
      <c r="F53" s="89">
        <v>65</v>
      </c>
      <c r="G53" s="89">
        <v>33</v>
      </c>
      <c r="H53" s="85">
        <v>-10</v>
      </c>
    </row>
    <row r="54" spans="3:8" x14ac:dyDescent="0.25">
      <c r="C54" s="75" t="s">
        <v>180</v>
      </c>
      <c r="D54" s="1" t="s">
        <v>162</v>
      </c>
      <c r="E54" s="84">
        <v>35</v>
      </c>
      <c r="F54" s="89">
        <v>85</v>
      </c>
      <c r="G54" s="89">
        <v>30</v>
      </c>
      <c r="H54" s="85">
        <v>78</v>
      </c>
    </row>
    <row r="55" spans="3:8" x14ac:dyDescent="0.25">
      <c r="C55" s="75" t="s">
        <v>181</v>
      </c>
      <c r="D55" s="1" t="s">
        <v>163</v>
      </c>
      <c r="E55" s="84">
        <v>72</v>
      </c>
      <c r="F55" s="89">
        <v>90</v>
      </c>
      <c r="G55" s="89">
        <v>-25</v>
      </c>
      <c r="H55" s="85">
        <v>38</v>
      </c>
    </row>
    <row r="56" spans="3:8" x14ac:dyDescent="0.25">
      <c r="C56" s="75" t="s">
        <v>182</v>
      </c>
      <c r="D56" s="1" t="s">
        <v>163</v>
      </c>
      <c r="E56" s="84">
        <v>97</v>
      </c>
      <c r="F56" s="89">
        <v>99</v>
      </c>
      <c r="G56" s="89">
        <v>55</v>
      </c>
      <c r="H56" s="85">
        <v>69</v>
      </c>
    </row>
    <row r="57" spans="3:8" x14ac:dyDescent="0.25">
      <c r="C57" s="75" t="s">
        <v>183</v>
      </c>
      <c r="D57" s="1" t="s">
        <v>163</v>
      </c>
      <c r="E57" s="84">
        <v>70</v>
      </c>
      <c r="F57" s="89">
        <v>35</v>
      </c>
      <c r="G57" s="89">
        <v>63</v>
      </c>
      <c r="H57" s="85">
        <v>54</v>
      </c>
    </row>
    <row r="58" spans="3:8" x14ac:dyDescent="0.25">
      <c r="C58" s="75" t="s">
        <v>184</v>
      </c>
      <c r="D58" s="1" t="s">
        <v>163</v>
      </c>
      <c r="E58" s="84">
        <v>100</v>
      </c>
      <c r="F58" s="89">
        <v>57</v>
      </c>
      <c r="G58" s="89">
        <v>87</v>
      </c>
      <c r="H58" s="85">
        <v>0</v>
      </c>
    </row>
    <row r="59" spans="3:8" ht="15.75" thickBot="1" x14ac:dyDescent="0.3">
      <c r="C59" s="75" t="s">
        <v>185</v>
      </c>
      <c r="D59" s="1" t="s">
        <v>164</v>
      </c>
      <c r="E59" s="84">
        <v>55</v>
      </c>
      <c r="F59" s="90">
        <v>23</v>
      </c>
      <c r="G59" s="90">
        <v>0</v>
      </c>
      <c r="H59" s="86">
        <v>48</v>
      </c>
    </row>
    <row r="60" spans="3:8" x14ac:dyDescent="0.25">
      <c r="C60" s="75" t="s">
        <v>186</v>
      </c>
      <c r="D60" s="1" t="s">
        <v>164</v>
      </c>
      <c r="E60" s="76">
        <v>80</v>
      </c>
    </row>
    <row r="61" spans="3:8" x14ac:dyDescent="0.25">
      <c r="C61" s="75" t="s">
        <v>187</v>
      </c>
      <c r="D61" s="1" t="s">
        <v>130</v>
      </c>
      <c r="E61" s="76">
        <v>90</v>
      </c>
    </row>
    <row r="62" spans="3:8" x14ac:dyDescent="0.25">
      <c r="C62" s="75" t="s">
        <v>188</v>
      </c>
      <c r="D62" s="1" t="s">
        <v>130</v>
      </c>
      <c r="E62" s="76">
        <v>110</v>
      </c>
    </row>
    <row r="63" spans="3:8" x14ac:dyDescent="0.25">
      <c r="C63" s="75" t="s">
        <v>189</v>
      </c>
      <c r="D63" s="1" t="s">
        <v>165</v>
      </c>
      <c r="E63" s="76">
        <v>40</v>
      </c>
    </row>
    <row r="64" spans="3:8" x14ac:dyDescent="0.25">
      <c r="C64" s="75" t="s">
        <v>190</v>
      </c>
      <c r="D64" s="1" t="s">
        <v>165</v>
      </c>
      <c r="E64" s="76">
        <v>65</v>
      </c>
    </row>
    <row r="65" spans="1:7" x14ac:dyDescent="0.25">
      <c r="C65" s="75" t="s">
        <v>191</v>
      </c>
      <c r="D65" s="1" t="s">
        <v>164</v>
      </c>
      <c r="E65" s="76">
        <v>41</v>
      </c>
    </row>
    <row r="66" spans="1:7" ht="15.75" thickBot="1" x14ac:dyDescent="0.3">
      <c r="C66" s="77" t="s">
        <v>192</v>
      </c>
      <c r="D66" s="78" t="s">
        <v>164</v>
      </c>
      <c r="E66" s="79">
        <v>56</v>
      </c>
    </row>
    <row r="67" spans="1:7" ht="15.75" thickBot="1" x14ac:dyDescent="0.3">
      <c r="C67" s="209" t="s">
        <v>196</v>
      </c>
      <c r="D67" s="210"/>
      <c r="E67" s="82">
        <f>AVERAGE(E41:E66)</f>
        <v>65.961538461538467</v>
      </c>
    </row>
    <row r="71" spans="1:7" ht="15.75" thickBot="1" x14ac:dyDescent="0.3">
      <c r="C71" t="s">
        <v>166</v>
      </c>
    </row>
    <row r="72" spans="1:7" ht="21.75" customHeight="1" thickBot="1" x14ac:dyDescent="0.3">
      <c r="A72" s="104" t="s">
        <v>237</v>
      </c>
      <c r="C72" s="91" t="s">
        <v>39</v>
      </c>
      <c r="D72" s="92" t="s">
        <v>219</v>
      </c>
      <c r="E72" s="92" t="s">
        <v>220</v>
      </c>
      <c r="F72" s="92" t="s">
        <v>221</v>
      </c>
      <c r="G72" s="103" t="s">
        <v>235</v>
      </c>
    </row>
    <row r="73" spans="1:7" x14ac:dyDescent="0.25">
      <c r="A73" s="97" t="s">
        <v>231</v>
      </c>
      <c r="C73" s="80" t="s">
        <v>222</v>
      </c>
      <c r="D73" s="81">
        <v>200</v>
      </c>
      <c r="E73" s="100">
        <f>D73*F73</f>
        <v>200</v>
      </c>
      <c r="F73" s="81">
        <v>1</v>
      </c>
      <c r="G73" s="96"/>
    </row>
    <row r="74" spans="1:7" x14ac:dyDescent="0.25">
      <c r="A74" s="98" t="s">
        <v>232</v>
      </c>
      <c r="C74" s="75" t="s">
        <v>223</v>
      </c>
      <c r="D74" s="1">
        <v>600</v>
      </c>
      <c r="E74" s="100">
        <f t="shared" ref="E74:E79" si="0">D74*F74</f>
        <v>1200</v>
      </c>
      <c r="F74" s="1">
        <v>2</v>
      </c>
      <c r="G74" s="76"/>
    </row>
    <row r="75" spans="1:7" x14ac:dyDescent="0.25">
      <c r="A75" s="98" t="s">
        <v>233</v>
      </c>
      <c r="C75" s="75" t="s">
        <v>224</v>
      </c>
      <c r="D75" s="1">
        <v>1200</v>
      </c>
      <c r="E75" s="100">
        <f t="shared" si="0"/>
        <v>4800</v>
      </c>
      <c r="F75" s="1">
        <v>4</v>
      </c>
      <c r="G75" s="76"/>
    </row>
    <row r="76" spans="1:7" ht="15.75" thickBot="1" x14ac:dyDescent="0.3">
      <c r="A76" s="99" t="s">
        <v>234</v>
      </c>
      <c r="C76" s="75" t="s">
        <v>225</v>
      </c>
      <c r="D76" s="1">
        <v>300</v>
      </c>
      <c r="E76" s="100">
        <f t="shared" si="0"/>
        <v>300</v>
      </c>
      <c r="F76" s="1">
        <v>1</v>
      </c>
      <c r="G76" s="76"/>
    </row>
    <row r="77" spans="1:7" x14ac:dyDescent="0.25">
      <c r="C77" s="75" t="s">
        <v>226</v>
      </c>
      <c r="D77" s="1">
        <v>700</v>
      </c>
      <c r="E77" s="100">
        <f t="shared" si="0"/>
        <v>700</v>
      </c>
      <c r="F77" s="1">
        <v>1</v>
      </c>
      <c r="G77" s="76"/>
    </row>
    <row r="78" spans="1:7" x14ac:dyDescent="0.25">
      <c r="C78" s="75" t="s">
        <v>227</v>
      </c>
      <c r="D78" s="1">
        <v>1200</v>
      </c>
      <c r="E78" s="100">
        <f t="shared" si="0"/>
        <v>1200</v>
      </c>
      <c r="F78" s="1">
        <v>1</v>
      </c>
      <c r="G78" s="76"/>
    </row>
    <row r="79" spans="1:7" x14ac:dyDescent="0.25">
      <c r="C79" s="75" t="s">
        <v>228</v>
      </c>
      <c r="D79" s="1">
        <v>100</v>
      </c>
      <c r="E79" s="100">
        <f t="shared" si="0"/>
        <v>100</v>
      </c>
      <c r="F79" s="1">
        <v>1</v>
      </c>
      <c r="G79" s="76"/>
    </row>
    <row r="80" spans="1:7" ht="15.75" thickBot="1" x14ac:dyDescent="0.3">
      <c r="C80" s="107"/>
      <c r="D80" s="108"/>
      <c r="E80" s="1"/>
      <c r="F80" s="1"/>
      <c r="G80" s="76"/>
    </row>
    <row r="81" spans="3:7" x14ac:dyDescent="0.25">
      <c r="C81" s="109" t="s">
        <v>229</v>
      </c>
      <c r="D81" s="110">
        <f>SUM(E73:E79)</f>
        <v>8500</v>
      </c>
      <c r="E81" s="105"/>
      <c r="F81" s="1"/>
      <c r="G81" s="76"/>
    </row>
    <row r="82" spans="3:7" x14ac:dyDescent="0.25">
      <c r="C82" s="101" t="s">
        <v>230</v>
      </c>
      <c r="D82" s="111">
        <f>(G83/100)*D81</f>
        <v>850</v>
      </c>
      <c r="E82" s="105"/>
      <c r="F82" s="1"/>
      <c r="G82" s="76"/>
    </row>
    <row r="83" spans="3:7" x14ac:dyDescent="0.25">
      <c r="C83" s="75"/>
      <c r="D83" s="76"/>
      <c r="E83" s="105"/>
      <c r="F83" s="1" t="s">
        <v>230</v>
      </c>
      <c r="G83" s="76">
        <v>10</v>
      </c>
    </row>
    <row r="84" spans="3:7" ht="15.75" thickBot="1" x14ac:dyDescent="0.3">
      <c r="C84" s="102" t="s">
        <v>34</v>
      </c>
      <c r="D84" s="112">
        <f>SUM(D81-D82)</f>
        <v>7650</v>
      </c>
      <c r="E84" s="106"/>
      <c r="F84" s="78"/>
      <c r="G84" s="79"/>
    </row>
  </sheetData>
  <mergeCells count="9">
    <mergeCell ref="C1:G1"/>
    <mergeCell ref="C18:G18"/>
    <mergeCell ref="D34:E34"/>
    <mergeCell ref="C39:G39"/>
    <mergeCell ref="C67:D67"/>
    <mergeCell ref="K41:L41"/>
    <mergeCell ref="K42:L42"/>
    <mergeCell ref="K43:L43"/>
    <mergeCell ref="K45:L45"/>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7CAC2-8A10-49D5-AA43-FEB326CE549C}">
  <sheetPr>
    <tabColor rgb="FF7030A0"/>
  </sheetPr>
  <dimension ref="A1:O78"/>
  <sheetViews>
    <sheetView tabSelected="1" topLeftCell="A44" workbookViewId="0">
      <selection activeCell="E69" sqref="E69"/>
    </sheetView>
  </sheetViews>
  <sheetFormatPr defaultRowHeight="15" x14ac:dyDescent="0.25"/>
  <cols>
    <col min="1" max="1" width="14.5703125" bestFit="1" customWidth="1"/>
    <col min="4" max="4" width="38.5703125" bestFit="1" customWidth="1"/>
    <col min="5" max="5" width="39.42578125" customWidth="1"/>
    <col min="6" max="6" width="10.42578125" customWidth="1"/>
    <col min="7" max="7" width="9" bestFit="1" customWidth="1"/>
    <col min="8" max="8" width="8.7109375" bestFit="1" customWidth="1"/>
    <col min="9" max="9" width="9.5703125" bestFit="1" customWidth="1"/>
    <col min="10" max="10" width="8.5703125" bestFit="1" customWidth="1"/>
    <col min="11" max="11" width="12.7109375" bestFit="1" customWidth="1"/>
    <col min="12" max="12" width="36.28515625" bestFit="1" customWidth="1"/>
    <col min="13" max="13" width="29" customWidth="1"/>
  </cols>
  <sheetData>
    <row r="1" spans="1:12" ht="20.25" customHeight="1" thickBot="1" x14ac:dyDescent="0.3">
      <c r="A1" s="214" t="s">
        <v>257</v>
      </c>
      <c r="B1" s="215"/>
      <c r="C1" s="216"/>
      <c r="D1" s="121" t="s">
        <v>253</v>
      </c>
      <c r="E1" s="121" t="s">
        <v>255</v>
      </c>
      <c r="L1" s="140" t="s">
        <v>261</v>
      </c>
    </row>
    <row r="2" spans="1:12" ht="15.75" thickBot="1" x14ac:dyDescent="0.3">
      <c r="D2" s="125" t="s">
        <v>254</v>
      </c>
      <c r="E2" s="122" t="s">
        <v>256</v>
      </c>
      <c r="L2" s="141" t="s">
        <v>272</v>
      </c>
    </row>
    <row r="3" spans="1:12" ht="15.75" thickBot="1" x14ac:dyDescent="0.3">
      <c r="A3" s="54" t="s">
        <v>238</v>
      </c>
      <c r="B3" s="115" t="s">
        <v>249</v>
      </c>
      <c r="C3" s="124" t="s">
        <v>110</v>
      </c>
      <c r="D3" s="126" t="s">
        <v>239</v>
      </c>
      <c r="E3" s="123" t="s">
        <v>252</v>
      </c>
      <c r="G3" s="54" t="s">
        <v>262</v>
      </c>
      <c r="H3" s="92" t="s">
        <v>222</v>
      </c>
      <c r="I3" s="92" t="s">
        <v>263</v>
      </c>
      <c r="J3" s="92" t="s">
        <v>264</v>
      </c>
      <c r="K3" s="103" t="s">
        <v>265</v>
      </c>
      <c r="L3" s="142" t="s">
        <v>274</v>
      </c>
    </row>
    <row r="4" spans="1:12" x14ac:dyDescent="0.25">
      <c r="A4" s="116" t="s">
        <v>240</v>
      </c>
      <c r="B4" s="58" t="s">
        <v>107</v>
      </c>
      <c r="C4" s="71">
        <v>45</v>
      </c>
      <c r="D4" s="127" t="b">
        <f>AND(B4="Fire",C4&gt;70)</f>
        <v>0</v>
      </c>
      <c r="E4" s="117" t="b">
        <f>OR(B4="Fire",C4&gt;70)</f>
        <v>0</v>
      </c>
      <c r="G4" s="42" t="s">
        <v>266</v>
      </c>
      <c r="H4" s="146">
        <v>10</v>
      </c>
      <c r="I4" s="146">
        <v>4</v>
      </c>
      <c r="J4" s="146">
        <v>1</v>
      </c>
      <c r="K4" s="147">
        <v>1</v>
      </c>
      <c r="L4" s="148">
        <f>AVERAGE(H4:K4)</f>
        <v>4</v>
      </c>
    </row>
    <row r="5" spans="1:12" x14ac:dyDescent="0.25">
      <c r="A5" s="113" t="s">
        <v>241</v>
      </c>
      <c r="B5" s="45" t="s">
        <v>107</v>
      </c>
      <c r="C5" s="65">
        <v>60</v>
      </c>
      <c r="D5" s="128" t="b">
        <f t="shared" ref="D5:D12" si="0">AND(B5="Fire",C5&gt;70)</f>
        <v>0</v>
      </c>
      <c r="E5" s="118" t="b">
        <f t="shared" ref="E5:E12" si="1">OR(B5="Fire",C5&gt;70)</f>
        <v>0</v>
      </c>
      <c r="G5" s="43" t="s">
        <v>267</v>
      </c>
      <c r="H5" s="144">
        <v>12</v>
      </c>
      <c r="I5" s="144">
        <v>3</v>
      </c>
      <c r="J5" s="144">
        <v>4</v>
      </c>
      <c r="K5" s="145">
        <v>1</v>
      </c>
      <c r="L5" s="143">
        <f t="shared" ref="L5:L9" si="2">AVERAGE(H5:K5)</f>
        <v>5</v>
      </c>
    </row>
    <row r="6" spans="1:12" x14ac:dyDescent="0.25">
      <c r="A6" s="113" t="s">
        <v>242</v>
      </c>
      <c r="B6" s="45" t="s">
        <v>107</v>
      </c>
      <c r="C6" s="65">
        <v>80</v>
      </c>
      <c r="D6" s="128" t="b">
        <f t="shared" si="0"/>
        <v>0</v>
      </c>
      <c r="E6" s="118" t="b">
        <f t="shared" si="1"/>
        <v>1</v>
      </c>
      <c r="G6" s="43" t="s">
        <v>268</v>
      </c>
      <c r="H6" s="144">
        <v>15</v>
      </c>
      <c r="I6" s="144" t="s">
        <v>273</v>
      </c>
      <c r="J6" s="144">
        <v>2</v>
      </c>
      <c r="K6" s="145">
        <v>1</v>
      </c>
      <c r="L6" s="143">
        <f t="shared" si="2"/>
        <v>6</v>
      </c>
    </row>
    <row r="7" spans="1:12" x14ac:dyDescent="0.25">
      <c r="A7" s="113" t="s">
        <v>243</v>
      </c>
      <c r="B7" s="45" t="s">
        <v>108</v>
      </c>
      <c r="C7" s="65">
        <v>65</v>
      </c>
      <c r="D7" s="128" t="b">
        <f t="shared" si="0"/>
        <v>0</v>
      </c>
      <c r="E7" s="118" t="b">
        <f t="shared" si="1"/>
        <v>1</v>
      </c>
      <c r="G7" s="43" t="s">
        <v>269</v>
      </c>
      <c r="H7" s="144">
        <v>4</v>
      </c>
      <c r="I7" s="144">
        <v>2</v>
      </c>
      <c r="J7" s="144">
        <v>6</v>
      </c>
      <c r="K7" s="145">
        <v>0</v>
      </c>
      <c r="L7" s="143">
        <f t="shared" si="2"/>
        <v>3</v>
      </c>
    </row>
    <row r="8" spans="1:12" x14ac:dyDescent="0.25">
      <c r="A8" s="113" t="s">
        <v>244</v>
      </c>
      <c r="B8" s="45" t="s">
        <v>108</v>
      </c>
      <c r="C8" s="65">
        <v>80</v>
      </c>
      <c r="D8" s="128" t="b">
        <f t="shared" si="0"/>
        <v>1</v>
      </c>
      <c r="E8" s="118" t="b">
        <f t="shared" si="1"/>
        <v>1</v>
      </c>
      <c r="G8" s="43" t="s">
        <v>270</v>
      </c>
      <c r="H8" s="144">
        <v>10</v>
      </c>
      <c r="I8" s="144">
        <v>4</v>
      </c>
      <c r="J8" s="144">
        <v>1</v>
      </c>
      <c r="K8" s="145">
        <v>1</v>
      </c>
      <c r="L8" s="143">
        <f t="shared" si="2"/>
        <v>4</v>
      </c>
    </row>
    <row r="9" spans="1:12" ht="15.75" thickBot="1" x14ac:dyDescent="0.3">
      <c r="A9" s="113" t="s">
        <v>245</v>
      </c>
      <c r="B9" s="45" t="s">
        <v>108</v>
      </c>
      <c r="C9" s="65">
        <v>100</v>
      </c>
      <c r="D9" s="128" t="b">
        <f t="shared" si="0"/>
        <v>1</v>
      </c>
      <c r="E9" s="118" t="b">
        <f t="shared" si="1"/>
        <v>1</v>
      </c>
      <c r="G9" s="150" t="s">
        <v>271</v>
      </c>
      <c r="H9" s="151">
        <v>9</v>
      </c>
      <c r="I9" s="151">
        <v>2</v>
      </c>
      <c r="J9" s="149">
        <v>1</v>
      </c>
      <c r="K9" s="156">
        <v>0</v>
      </c>
      <c r="L9" s="155">
        <f t="shared" si="2"/>
        <v>3</v>
      </c>
    </row>
    <row r="10" spans="1:12" ht="15.75" thickBot="1" x14ac:dyDescent="0.3">
      <c r="A10" s="113" t="s">
        <v>246</v>
      </c>
      <c r="B10" s="45" t="s">
        <v>109</v>
      </c>
      <c r="C10" s="65">
        <v>43</v>
      </c>
      <c r="D10" s="128" t="b">
        <f t="shared" si="0"/>
        <v>0</v>
      </c>
      <c r="E10" s="118" t="b">
        <f t="shared" si="1"/>
        <v>0</v>
      </c>
      <c r="G10" s="152" t="s">
        <v>238</v>
      </c>
      <c r="H10" s="153" t="s">
        <v>124</v>
      </c>
      <c r="I10" s="154" t="s">
        <v>110</v>
      </c>
      <c r="K10" s="157"/>
      <c r="L10" s="159" t="s">
        <v>275</v>
      </c>
    </row>
    <row r="11" spans="1:12" ht="15.75" thickBot="1" x14ac:dyDescent="0.3">
      <c r="A11" s="113" t="s">
        <v>247</v>
      </c>
      <c r="B11" s="45" t="s">
        <v>109</v>
      </c>
      <c r="C11" s="65">
        <v>70</v>
      </c>
      <c r="D11" s="128" t="b">
        <f t="shared" si="0"/>
        <v>0</v>
      </c>
      <c r="E11" s="118" t="b">
        <f t="shared" si="1"/>
        <v>0</v>
      </c>
      <c r="G11" s="80" t="s">
        <v>240</v>
      </c>
      <c r="H11" s="81" t="s">
        <v>107</v>
      </c>
      <c r="I11" s="96">
        <v>45</v>
      </c>
      <c r="K11" s="157" t="s">
        <v>276</v>
      </c>
      <c r="L11" s="160" t="s">
        <v>277</v>
      </c>
    </row>
    <row r="12" spans="1:12" ht="15.75" thickBot="1" x14ac:dyDescent="0.3">
      <c r="A12" s="114" t="s">
        <v>248</v>
      </c>
      <c r="B12" s="48" t="s">
        <v>109</v>
      </c>
      <c r="C12" s="66">
        <v>78</v>
      </c>
      <c r="D12" s="129" t="b">
        <f t="shared" si="0"/>
        <v>0</v>
      </c>
      <c r="E12" s="119" t="b">
        <f t="shared" si="1"/>
        <v>1</v>
      </c>
      <c r="G12" s="75" t="s">
        <v>241</v>
      </c>
      <c r="H12" s="1" t="s">
        <v>107</v>
      </c>
      <c r="I12" s="76">
        <v>60</v>
      </c>
      <c r="K12" s="158" t="s">
        <v>107</v>
      </c>
      <c r="L12" s="161">
        <f>AVERAGEIF(H$11:H$19, K12, I$11:I$19)</f>
        <v>61.666666666666664</v>
      </c>
    </row>
    <row r="13" spans="1:12" x14ac:dyDescent="0.25">
      <c r="A13" t="s">
        <v>166</v>
      </c>
      <c r="G13" s="75" t="s">
        <v>242</v>
      </c>
      <c r="H13" s="1" t="s">
        <v>107</v>
      </c>
      <c r="I13" s="76">
        <v>80</v>
      </c>
      <c r="K13" s="75" t="s">
        <v>108</v>
      </c>
      <c r="L13" s="161">
        <f t="shared" ref="L13:L14" si="3">AVERAGEIF(H$11:H$19, K13, I$11:I$19)</f>
        <v>81.666666666666671</v>
      </c>
    </row>
    <row r="14" spans="1:12" ht="15.75" thickBot="1" x14ac:dyDescent="0.3">
      <c r="G14" s="75" t="s">
        <v>243</v>
      </c>
      <c r="H14" s="1" t="s">
        <v>108</v>
      </c>
      <c r="I14" s="76">
        <v>65</v>
      </c>
      <c r="K14" s="77" t="s">
        <v>109</v>
      </c>
      <c r="L14" s="162">
        <f t="shared" si="3"/>
        <v>59.666666666666664</v>
      </c>
    </row>
    <row r="15" spans="1:12" ht="18.75" customHeight="1" thickBot="1" x14ac:dyDescent="0.3">
      <c r="A15" s="217" t="s">
        <v>259</v>
      </c>
      <c r="B15" s="217"/>
      <c r="C15" s="217"/>
      <c r="D15" s="217"/>
      <c r="E15" s="217"/>
      <c r="F15" s="217"/>
      <c r="G15" s="75" t="s">
        <v>244</v>
      </c>
      <c r="H15" s="1" t="s">
        <v>108</v>
      </c>
      <c r="I15" s="76">
        <v>80</v>
      </c>
    </row>
    <row r="16" spans="1:12" ht="20.25" customHeight="1" thickBot="1" x14ac:dyDescent="0.3">
      <c r="A16" s="130"/>
      <c r="B16" s="131"/>
      <c r="C16" s="131"/>
      <c r="D16" s="132" t="s">
        <v>258</v>
      </c>
      <c r="E16" s="220" t="s">
        <v>260</v>
      </c>
      <c r="G16" s="75" t="s">
        <v>245</v>
      </c>
      <c r="H16" s="1" t="s">
        <v>108</v>
      </c>
      <c r="I16" s="76">
        <v>100</v>
      </c>
    </row>
    <row r="17" spans="1:15" ht="15.75" thickBot="1" x14ac:dyDescent="0.3">
      <c r="A17" s="54" t="s">
        <v>238</v>
      </c>
      <c r="B17" s="115" t="s">
        <v>249</v>
      </c>
      <c r="C17" s="115" t="s">
        <v>110</v>
      </c>
      <c r="D17" s="120" t="s">
        <v>239</v>
      </c>
      <c r="E17" s="121" t="s">
        <v>252</v>
      </c>
      <c r="G17" s="75" t="s">
        <v>246</v>
      </c>
      <c r="H17" s="1" t="s">
        <v>109</v>
      </c>
      <c r="I17" s="76">
        <v>43</v>
      </c>
    </row>
    <row r="18" spans="1:15" x14ac:dyDescent="0.25">
      <c r="A18" s="135" t="s">
        <v>240</v>
      </c>
      <c r="B18" s="52" t="s">
        <v>107</v>
      </c>
      <c r="C18" s="52">
        <v>70</v>
      </c>
      <c r="D18" s="136" t="str">
        <f t="shared" ref="D18:D26" si="4">IF(AND(B18="Fire",C18&gt;=70),"Yes","No")</f>
        <v>No</v>
      </c>
      <c r="E18" s="137" t="str">
        <f>IF(OR(B18="Fire",C18&gt;=70),"Yes","No")</f>
        <v>Yes</v>
      </c>
      <c r="G18" s="75" t="s">
        <v>247</v>
      </c>
      <c r="H18" s="1" t="s">
        <v>109</v>
      </c>
      <c r="I18" s="76">
        <v>58</v>
      </c>
    </row>
    <row r="19" spans="1:15" ht="15.75" thickBot="1" x14ac:dyDescent="0.3">
      <c r="A19" s="113" t="s">
        <v>241</v>
      </c>
      <c r="B19" s="45" t="s">
        <v>107</v>
      </c>
      <c r="C19" s="45">
        <v>60</v>
      </c>
      <c r="D19" s="133" t="str">
        <f t="shared" si="4"/>
        <v>No</v>
      </c>
      <c r="E19" s="138" t="str">
        <f t="shared" ref="E19:E26" si="5">IF(OR(B19="Fire",C19&gt;=70),"Yes","No")</f>
        <v>No</v>
      </c>
      <c r="G19" s="77" t="s">
        <v>248</v>
      </c>
      <c r="H19" s="78" t="s">
        <v>109</v>
      </c>
      <c r="I19" s="79">
        <v>78</v>
      </c>
    </row>
    <row r="20" spans="1:15" x14ac:dyDescent="0.25">
      <c r="A20" s="113" t="s">
        <v>242</v>
      </c>
      <c r="B20" s="45" t="s">
        <v>107</v>
      </c>
      <c r="C20" s="45">
        <v>80</v>
      </c>
      <c r="D20" s="133" t="str">
        <f t="shared" si="4"/>
        <v>No</v>
      </c>
      <c r="E20" s="138" t="str">
        <f t="shared" si="5"/>
        <v>Yes</v>
      </c>
      <c r="G20" t="s">
        <v>166</v>
      </c>
    </row>
    <row r="21" spans="1:15" x14ac:dyDescent="0.25">
      <c r="A21" s="113" t="s">
        <v>243</v>
      </c>
      <c r="B21" s="45" t="s">
        <v>108</v>
      </c>
      <c r="C21" s="45">
        <v>65</v>
      </c>
      <c r="D21" s="133" t="str">
        <f t="shared" si="4"/>
        <v>No</v>
      </c>
      <c r="E21" s="138" t="str">
        <f t="shared" si="5"/>
        <v>Yes</v>
      </c>
    </row>
    <row r="22" spans="1:15" x14ac:dyDescent="0.25">
      <c r="A22" s="113" t="s">
        <v>244</v>
      </c>
      <c r="B22" s="45" t="s">
        <v>108</v>
      </c>
      <c r="C22" s="45">
        <v>80</v>
      </c>
      <c r="D22" s="133" t="str">
        <f t="shared" si="4"/>
        <v>Yes</v>
      </c>
      <c r="E22" s="138" t="str">
        <f t="shared" si="5"/>
        <v>Yes</v>
      </c>
    </row>
    <row r="23" spans="1:15" x14ac:dyDescent="0.25">
      <c r="A23" s="113" t="s">
        <v>245</v>
      </c>
      <c r="B23" s="45" t="s">
        <v>108</v>
      </c>
      <c r="C23" s="45">
        <v>100</v>
      </c>
      <c r="D23" s="133" t="str">
        <f t="shared" si="4"/>
        <v>Yes</v>
      </c>
      <c r="E23" s="138" t="str">
        <f t="shared" si="5"/>
        <v>Yes</v>
      </c>
    </row>
    <row r="24" spans="1:15" x14ac:dyDescent="0.25">
      <c r="A24" s="113" t="s">
        <v>246</v>
      </c>
      <c r="B24" s="45" t="s">
        <v>109</v>
      </c>
      <c r="C24" s="45">
        <v>43</v>
      </c>
      <c r="D24" s="133" t="str">
        <f t="shared" si="4"/>
        <v>No</v>
      </c>
      <c r="E24" s="138" t="str">
        <f t="shared" si="5"/>
        <v>No</v>
      </c>
    </row>
    <row r="25" spans="1:15" x14ac:dyDescent="0.25">
      <c r="A25" s="113" t="s">
        <v>247</v>
      </c>
      <c r="B25" s="45" t="s">
        <v>108</v>
      </c>
      <c r="C25" s="45">
        <v>70</v>
      </c>
      <c r="D25" s="133" t="str">
        <f t="shared" si="4"/>
        <v>Yes</v>
      </c>
      <c r="E25" s="138" t="str">
        <f t="shared" si="5"/>
        <v>Yes</v>
      </c>
    </row>
    <row r="26" spans="1:15" ht="15.75" thickBot="1" x14ac:dyDescent="0.3">
      <c r="A26" s="114" t="s">
        <v>248</v>
      </c>
      <c r="B26" s="48" t="s">
        <v>109</v>
      </c>
      <c r="C26" s="48">
        <v>78</v>
      </c>
      <c r="D26" s="134" t="str">
        <f t="shared" si="4"/>
        <v>No</v>
      </c>
      <c r="E26" s="139" t="str">
        <f t="shared" si="5"/>
        <v>Yes</v>
      </c>
    </row>
    <row r="29" spans="1:15" ht="15.75" thickBot="1" x14ac:dyDescent="0.3">
      <c r="D29" s="10"/>
    </row>
    <row r="30" spans="1:15" ht="15.75" thickBot="1" x14ac:dyDescent="0.3">
      <c r="A30" s="163" t="s">
        <v>238</v>
      </c>
      <c r="B30" s="164" t="s">
        <v>124</v>
      </c>
      <c r="C30" s="164" t="s">
        <v>278</v>
      </c>
      <c r="D30" s="165"/>
      <c r="E30" s="259" t="s">
        <v>331</v>
      </c>
      <c r="F30" s="260"/>
      <c r="G30" s="260"/>
      <c r="H30" s="260"/>
      <c r="I30" s="260"/>
      <c r="J30" s="260"/>
      <c r="K30" s="260"/>
      <c r="L30" s="260"/>
      <c r="M30" s="260"/>
      <c r="N30" s="260"/>
      <c r="O30" s="261"/>
    </row>
    <row r="31" spans="1:15" ht="15.75" thickBot="1" x14ac:dyDescent="0.3">
      <c r="A31" s="229" t="s">
        <v>298</v>
      </c>
      <c r="B31" s="27" t="s">
        <v>108</v>
      </c>
      <c r="C31" s="27">
        <v>305</v>
      </c>
      <c r="D31" s="28" t="str">
        <f>_xlfn.CONCAT(A31,", ",B31)</f>
        <v>Mankey, Fire</v>
      </c>
      <c r="E31" s="248" t="s">
        <v>330</v>
      </c>
      <c r="F31" s="249"/>
      <c r="G31" s="249"/>
      <c r="H31" s="249"/>
      <c r="I31" s="249"/>
      <c r="J31" s="249"/>
      <c r="K31" s="249"/>
      <c r="L31" s="249"/>
      <c r="M31" s="249"/>
      <c r="N31" s="249"/>
      <c r="O31" s="250"/>
    </row>
    <row r="32" spans="1:15" x14ac:dyDescent="0.25">
      <c r="A32" s="221" t="s">
        <v>279</v>
      </c>
      <c r="B32" s="222" t="s">
        <v>109</v>
      </c>
      <c r="C32" s="222">
        <v>510</v>
      </c>
      <c r="D32" s="223" t="str">
        <f t="shared" ref="D32:D51" si="6">_xlfn.CONCAT(A32,", ",B32)</f>
        <v xml:space="preserve">    Poliwrath, Water</v>
      </c>
      <c r="E32" s="245" t="str">
        <f>_xlfn.CONCAT(TRIM(A31),", ",TRIM(A32))</f>
        <v>Mankey, Poliwrath</v>
      </c>
      <c r="F32" s="27"/>
      <c r="G32" s="27"/>
      <c r="H32" s="27"/>
      <c r="I32" s="27"/>
      <c r="J32" s="27"/>
      <c r="K32" s="27"/>
      <c r="L32" s="27"/>
      <c r="M32" s="27"/>
      <c r="N32" s="27"/>
      <c r="O32" s="28"/>
    </row>
    <row r="33" spans="1:15" x14ac:dyDescent="0.25">
      <c r="A33" s="221" t="s">
        <v>280</v>
      </c>
      <c r="B33" s="222" t="s">
        <v>107</v>
      </c>
      <c r="C33" s="222">
        <v>490</v>
      </c>
      <c r="D33" s="223" t="str">
        <f t="shared" si="6"/>
        <v xml:space="preserve">    Victreebel, Grass</v>
      </c>
      <c r="E33" s="246" t="str">
        <f>_xlfn.CONCAT(E32,", ",TRIM(A33))</f>
        <v>Mankey, Poliwrath, Victreebel</v>
      </c>
      <c r="F33" s="222"/>
      <c r="G33" s="222"/>
      <c r="H33" s="222"/>
      <c r="I33" s="222"/>
      <c r="J33" s="222"/>
      <c r="K33" s="222"/>
      <c r="L33" s="222"/>
      <c r="M33" s="222"/>
      <c r="N33" s="222"/>
      <c r="O33" s="223"/>
    </row>
    <row r="34" spans="1:15" x14ac:dyDescent="0.25">
      <c r="A34" s="221" t="s">
        <v>281</v>
      </c>
      <c r="B34" s="222" t="s">
        <v>109</v>
      </c>
      <c r="C34" s="222">
        <v>335</v>
      </c>
      <c r="D34" s="223" t="str">
        <f t="shared" si="6"/>
        <v xml:space="preserve">    Tentacool, Water</v>
      </c>
      <c r="E34" s="246" t="str">
        <f t="shared" ref="E34:E51" si="7">_xlfn.CONCAT(E33,", ",TRIM(A34))</f>
        <v>Mankey, Poliwrath, Victreebel, Tentacool</v>
      </c>
      <c r="F34" s="222"/>
      <c r="G34" s="222"/>
      <c r="H34" s="222"/>
      <c r="I34" s="222"/>
      <c r="J34" s="222"/>
      <c r="K34" s="222"/>
      <c r="L34" s="222"/>
      <c r="M34" s="222"/>
      <c r="N34" s="222"/>
      <c r="O34" s="223"/>
    </row>
    <row r="35" spans="1:15" x14ac:dyDescent="0.25">
      <c r="A35" s="221" t="s">
        <v>282</v>
      </c>
      <c r="B35" s="222" t="s">
        <v>130</v>
      </c>
      <c r="C35" s="222">
        <v>465</v>
      </c>
      <c r="D35" s="223" t="str">
        <f t="shared" si="6"/>
        <v xml:space="preserve">    Magneton, Electric</v>
      </c>
      <c r="E35" s="246" t="str">
        <f t="shared" si="7"/>
        <v>Mankey, Poliwrath, Victreebel, Tentacool, Magneton</v>
      </c>
      <c r="F35" s="222"/>
      <c r="G35" s="222"/>
      <c r="H35" s="222"/>
      <c r="I35" s="222"/>
      <c r="J35" s="222"/>
      <c r="K35" s="222"/>
      <c r="L35" s="222"/>
      <c r="M35" s="222"/>
      <c r="N35" s="222"/>
      <c r="O35" s="223"/>
    </row>
    <row r="36" spans="1:15" x14ac:dyDescent="0.25">
      <c r="A36" s="221" t="s">
        <v>283</v>
      </c>
      <c r="B36" s="222" t="s">
        <v>109</v>
      </c>
      <c r="C36" s="222">
        <v>475</v>
      </c>
      <c r="D36" s="223" t="str">
        <f t="shared" si="6"/>
        <v xml:space="preserve">    Dewgong, Water</v>
      </c>
      <c r="E36" s="246" t="str">
        <f t="shared" si="7"/>
        <v>Mankey, Poliwrath, Victreebel, Tentacool, Magneton, Dewgong</v>
      </c>
      <c r="F36" s="222"/>
      <c r="G36" s="222"/>
      <c r="H36" s="222"/>
      <c r="I36" s="222"/>
      <c r="J36" s="222"/>
      <c r="K36" s="222"/>
      <c r="L36" s="222"/>
      <c r="M36" s="222"/>
      <c r="N36" s="222"/>
      <c r="O36" s="223"/>
    </row>
    <row r="37" spans="1:15" x14ac:dyDescent="0.25">
      <c r="A37" s="221" t="s">
        <v>284</v>
      </c>
      <c r="B37" s="222" t="s">
        <v>109</v>
      </c>
      <c r="C37" s="222">
        <v>525</v>
      </c>
      <c r="D37" s="223" t="str">
        <f t="shared" si="6"/>
        <v xml:space="preserve">    Cloyster, Water</v>
      </c>
      <c r="E37" s="246" t="str">
        <f t="shared" si="7"/>
        <v>Mankey, Poliwrath, Victreebel, Tentacool, Magneton, Dewgong, Cloyster</v>
      </c>
      <c r="F37" s="222"/>
      <c r="G37" s="222"/>
      <c r="H37" s="222"/>
      <c r="I37" s="222"/>
      <c r="J37" s="222"/>
      <c r="K37" s="222"/>
      <c r="L37" s="222"/>
      <c r="M37" s="222"/>
      <c r="N37" s="222"/>
      <c r="O37" s="223"/>
    </row>
    <row r="38" spans="1:15" x14ac:dyDescent="0.25">
      <c r="A38" s="221" t="s">
        <v>285</v>
      </c>
      <c r="B38" s="222" t="s">
        <v>286</v>
      </c>
      <c r="C38" s="222">
        <v>385</v>
      </c>
      <c r="D38" s="223" t="str">
        <f t="shared" si="6"/>
        <v xml:space="preserve">    Onix, Rock</v>
      </c>
      <c r="E38" s="246" t="str">
        <f t="shared" si="7"/>
        <v>Mankey, Poliwrath, Victreebel, Tentacool, Magneton, Dewgong, Cloyster, Onix</v>
      </c>
      <c r="F38" s="222"/>
      <c r="G38" s="222"/>
      <c r="H38" s="222"/>
      <c r="I38" s="222"/>
      <c r="J38" s="222"/>
      <c r="K38" s="222"/>
      <c r="L38" s="222"/>
      <c r="M38" s="222"/>
      <c r="N38" s="222"/>
      <c r="O38" s="223"/>
    </row>
    <row r="39" spans="1:15" x14ac:dyDescent="0.25">
      <c r="A39" s="221" t="s">
        <v>287</v>
      </c>
      <c r="B39" s="222" t="s">
        <v>107</v>
      </c>
      <c r="C39" s="222">
        <v>420</v>
      </c>
      <c r="D39" s="223" t="str">
        <f t="shared" si="6"/>
        <v xml:space="preserve">    Dragonair, Grass</v>
      </c>
      <c r="E39" s="246" t="str">
        <f t="shared" si="7"/>
        <v>Mankey, Poliwrath, Victreebel, Tentacool, Magneton, Dewgong, Cloyster, Onix, Dragonair</v>
      </c>
      <c r="F39" s="222"/>
      <c r="G39" s="222"/>
      <c r="H39" s="222"/>
      <c r="I39" s="222"/>
      <c r="J39" s="222"/>
      <c r="K39" s="222"/>
      <c r="L39" s="222"/>
      <c r="M39" s="222"/>
      <c r="N39" s="222"/>
      <c r="O39" s="223"/>
    </row>
    <row r="40" spans="1:15" x14ac:dyDescent="0.25">
      <c r="A40" s="221" t="s">
        <v>288</v>
      </c>
      <c r="B40" s="222" t="s">
        <v>163</v>
      </c>
      <c r="C40" s="222">
        <v>349</v>
      </c>
      <c r="D40" s="223" t="str">
        <f t="shared" si="6"/>
        <v xml:space="preserve">    Pidgeotto, Normal</v>
      </c>
      <c r="E40" s="246" t="str">
        <f t="shared" si="7"/>
        <v>Mankey, Poliwrath, Victreebel, Tentacool, Magneton, Dewgong, Cloyster, Onix, Dragonair, Pidgeotto</v>
      </c>
      <c r="F40" s="222"/>
      <c r="G40" s="222"/>
      <c r="H40" s="222"/>
      <c r="I40" s="222"/>
      <c r="J40" s="222"/>
      <c r="K40" s="222"/>
      <c r="L40" s="222"/>
      <c r="M40" s="222"/>
      <c r="N40" s="222"/>
      <c r="O40" s="223"/>
    </row>
    <row r="41" spans="1:15" x14ac:dyDescent="0.25">
      <c r="A41" s="221" t="s">
        <v>289</v>
      </c>
      <c r="B41" s="222" t="s">
        <v>163</v>
      </c>
      <c r="C41" s="222">
        <v>253</v>
      </c>
      <c r="D41" s="223" t="str">
        <f t="shared" si="6"/>
        <v xml:space="preserve">    Rattata, Normal</v>
      </c>
      <c r="E41" s="246" t="str">
        <f t="shared" si="7"/>
        <v>Mankey, Poliwrath, Victreebel, Tentacool, Magneton, Dewgong, Cloyster, Onix, Dragonair, Pidgeotto, Rattata</v>
      </c>
      <c r="F41" s="222"/>
      <c r="G41" s="222"/>
      <c r="H41" s="222"/>
      <c r="I41" s="222"/>
      <c r="J41" s="222"/>
      <c r="K41" s="222"/>
      <c r="L41" s="222"/>
      <c r="M41" s="222"/>
      <c r="N41" s="222"/>
      <c r="O41" s="223"/>
    </row>
    <row r="42" spans="1:15" x14ac:dyDescent="0.25">
      <c r="A42" s="221" t="s">
        <v>290</v>
      </c>
      <c r="B42" s="222" t="s">
        <v>162</v>
      </c>
      <c r="C42" s="222">
        <v>395</v>
      </c>
      <c r="D42" s="223" t="str">
        <f t="shared" si="6"/>
        <v xml:space="preserve">    Beedrill, Bug</v>
      </c>
      <c r="E42" s="246" t="str">
        <f t="shared" si="7"/>
        <v>Mankey, Poliwrath, Victreebel, Tentacool, Magneton, Dewgong, Cloyster, Onix, Dragonair, Pidgeotto, Rattata, Beedrill</v>
      </c>
      <c r="F42" s="222"/>
      <c r="G42" s="222"/>
      <c r="H42" s="222"/>
      <c r="I42" s="222"/>
      <c r="J42" s="222"/>
      <c r="K42" s="222"/>
      <c r="L42" s="222"/>
      <c r="M42" s="222"/>
      <c r="N42" s="222"/>
      <c r="O42" s="223"/>
    </row>
    <row r="43" spans="1:15" x14ac:dyDescent="0.25">
      <c r="A43" s="221" t="s">
        <v>291</v>
      </c>
      <c r="B43" s="222" t="s">
        <v>163</v>
      </c>
      <c r="C43" s="222">
        <v>310</v>
      </c>
      <c r="D43" s="223" t="str">
        <f t="shared" si="6"/>
        <v xml:space="preserve">    Doduo, Normal</v>
      </c>
      <c r="E43" s="246" t="str">
        <f t="shared" si="7"/>
        <v>Mankey, Poliwrath, Victreebel, Tentacool, Magneton, Dewgong, Cloyster, Onix, Dragonair, Pidgeotto, Rattata, Beedrill, Doduo</v>
      </c>
      <c r="F43" s="222"/>
      <c r="G43" s="222"/>
      <c r="H43" s="222"/>
      <c r="I43" s="222"/>
      <c r="J43" s="222"/>
      <c r="K43" s="222"/>
      <c r="L43" s="222"/>
      <c r="M43" s="222"/>
      <c r="N43" s="222"/>
      <c r="O43" s="223"/>
    </row>
    <row r="44" spans="1:15" x14ac:dyDescent="0.25">
      <c r="A44" s="221" t="s">
        <v>292</v>
      </c>
      <c r="B44" s="222" t="s">
        <v>109</v>
      </c>
      <c r="C44" s="222">
        <v>475</v>
      </c>
      <c r="D44" s="223" t="str">
        <f t="shared" si="6"/>
        <v xml:space="preserve">    Kingler, Water</v>
      </c>
      <c r="E44" s="246" t="str">
        <f t="shared" si="7"/>
        <v>Mankey, Poliwrath, Victreebel, Tentacool, Magneton, Dewgong, Cloyster, Onix, Dragonair, Pidgeotto, Rattata, Beedrill, Doduo, Kingler</v>
      </c>
      <c r="F44" s="222"/>
      <c r="G44" s="222"/>
      <c r="H44" s="222"/>
      <c r="I44" s="222"/>
      <c r="J44" s="222"/>
      <c r="K44" s="222"/>
      <c r="L44" s="222"/>
      <c r="M44" s="222"/>
      <c r="N44" s="222"/>
      <c r="O44" s="223"/>
    </row>
    <row r="45" spans="1:15" x14ac:dyDescent="0.25">
      <c r="A45" s="221" t="s">
        <v>293</v>
      </c>
      <c r="B45" s="222" t="s">
        <v>163</v>
      </c>
      <c r="C45" s="222">
        <v>505</v>
      </c>
      <c r="D45" s="223" t="str">
        <f t="shared" si="6"/>
        <v xml:space="preserve">    Nidoqueen, Normal</v>
      </c>
      <c r="E45" s="246" t="str">
        <f t="shared" si="7"/>
        <v>Mankey, Poliwrath, Victreebel, Tentacool, Magneton, Dewgong, Cloyster, Onix, Dragonair, Pidgeotto, Rattata, Beedrill, Doduo, Kingler, Nidoqueen</v>
      </c>
      <c r="F45" s="222"/>
      <c r="G45" s="222"/>
      <c r="H45" s="222"/>
      <c r="I45" s="222"/>
      <c r="J45" s="222"/>
      <c r="K45" s="222"/>
      <c r="L45" s="222"/>
      <c r="M45" s="222"/>
      <c r="N45" s="222"/>
      <c r="O45" s="223"/>
    </row>
    <row r="46" spans="1:15" x14ac:dyDescent="0.25">
      <c r="A46" s="221" t="s">
        <v>294</v>
      </c>
      <c r="B46" s="222" t="s">
        <v>108</v>
      </c>
      <c r="C46" s="222">
        <v>455</v>
      </c>
      <c r="D46" s="223" t="str">
        <f t="shared" si="6"/>
        <v xml:space="preserve">    Hitmonchan, Fire</v>
      </c>
      <c r="E46" s="246" t="str">
        <f t="shared" si="7"/>
        <v>Mankey, Poliwrath, Victreebel, Tentacool, Magneton, Dewgong, Cloyster, Onix, Dragonair, Pidgeotto, Rattata, Beedrill, Doduo, Kingler, Nidoqueen, Hitmonchan</v>
      </c>
      <c r="F46" s="222"/>
      <c r="G46" s="222"/>
      <c r="H46" s="222"/>
      <c r="I46" s="222"/>
      <c r="J46" s="222"/>
      <c r="K46" s="222"/>
      <c r="L46" s="222"/>
      <c r="M46" s="222"/>
      <c r="N46" s="222"/>
      <c r="O46" s="223"/>
    </row>
    <row r="47" spans="1:15" x14ac:dyDescent="0.25">
      <c r="A47" s="221" t="s">
        <v>244</v>
      </c>
      <c r="B47" s="222" t="s">
        <v>108</v>
      </c>
      <c r="C47" s="222">
        <v>405</v>
      </c>
      <c r="D47" s="223" t="str">
        <f t="shared" si="6"/>
        <v xml:space="preserve">    Charmeleon, Fire</v>
      </c>
      <c r="E47" s="246" t="str">
        <f t="shared" si="7"/>
        <v>Mankey, Poliwrath, Victreebel, Tentacool, Magneton, Dewgong, Cloyster, Onix, Dragonair, Pidgeotto, Rattata, Beedrill, Doduo, Kingler, Nidoqueen, Hitmonchan, Charmeleon</v>
      </c>
      <c r="F47" s="222"/>
      <c r="G47" s="222"/>
      <c r="H47" s="222"/>
      <c r="I47" s="222"/>
      <c r="J47" s="222"/>
      <c r="K47" s="222"/>
      <c r="L47" s="222"/>
      <c r="M47" s="222"/>
      <c r="N47" s="222"/>
      <c r="O47" s="223"/>
    </row>
    <row r="48" spans="1:15" x14ac:dyDescent="0.25">
      <c r="A48" s="221" t="s">
        <v>295</v>
      </c>
      <c r="B48" s="222" t="s">
        <v>163</v>
      </c>
      <c r="C48" s="222">
        <v>438</v>
      </c>
      <c r="D48" s="223" t="str">
        <f t="shared" si="6"/>
        <v xml:space="preserve">    Arbok, Normal</v>
      </c>
      <c r="E48" s="246" t="str">
        <f t="shared" si="7"/>
        <v>Mankey, Poliwrath, Victreebel, Tentacool, Magneton, Dewgong, Cloyster, Onix, Dragonair, Pidgeotto, Rattata, Beedrill, Doduo, Kingler, Nidoqueen, Hitmonchan, Charmeleon, Arbok</v>
      </c>
      <c r="F48" s="222"/>
      <c r="G48" s="222"/>
      <c r="H48" s="222"/>
      <c r="I48" s="222"/>
      <c r="J48" s="222"/>
      <c r="K48" s="222"/>
      <c r="L48" s="222"/>
      <c r="M48" s="222"/>
      <c r="N48" s="222"/>
      <c r="O48" s="223"/>
    </row>
    <row r="49" spans="1:15" x14ac:dyDescent="0.25">
      <c r="A49" s="221" t="s">
        <v>296</v>
      </c>
      <c r="B49" s="222" t="s">
        <v>162</v>
      </c>
      <c r="C49" s="222">
        <v>310</v>
      </c>
      <c r="D49" s="223" t="str">
        <f t="shared" si="6"/>
        <v xml:space="preserve">    Gastly, Bug</v>
      </c>
      <c r="E49" s="246" t="str">
        <f t="shared" si="7"/>
        <v>Mankey, Poliwrath, Victreebel, Tentacool, Magneton, Dewgong, Cloyster, Onix, Dragonair, Pidgeotto, Rattata, Beedrill, Doduo, Kingler, Nidoqueen, Hitmonchan, Charmeleon, Arbok, Gastly</v>
      </c>
      <c r="F49" s="222"/>
      <c r="G49" s="222"/>
      <c r="H49" s="222"/>
      <c r="I49" s="222"/>
      <c r="J49" s="222"/>
      <c r="K49" s="222"/>
      <c r="L49" s="222"/>
      <c r="M49" s="222"/>
      <c r="N49" s="222"/>
      <c r="O49" s="223"/>
    </row>
    <row r="50" spans="1:15" ht="15.75" thickBot="1" x14ac:dyDescent="0.3">
      <c r="A50" s="224" t="s">
        <v>297</v>
      </c>
      <c r="B50" s="225" t="s">
        <v>109</v>
      </c>
      <c r="C50" s="225">
        <v>200</v>
      </c>
      <c r="D50" s="226" t="str">
        <f t="shared" si="6"/>
        <v xml:space="preserve">    Magikarp, Water</v>
      </c>
      <c r="E50" s="247" t="str">
        <f t="shared" si="7"/>
        <v>Mankey, Poliwrath, Victreebel, Tentacool, Magneton, Dewgong, Cloyster, Onix, Dragonair, Pidgeotto, Rattata, Beedrill, Doduo, Kingler, Nidoqueen, Hitmonchan, Charmeleon, Arbok, Gastly, Magikarp</v>
      </c>
      <c r="F50" s="225"/>
      <c r="G50" s="225"/>
      <c r="H50" s="225"/>
      <c r="I50" s="225"/>
      <c r="J50" s="225"/>
      <c r="K50" s="225"/>
      <c r="L50" s="225"/>
      <c r="M50" s="225"/>
      <c r="N50" s="225"/>
      <c r="O50" s="226"/>
    </row>
    <row r="51" spans="1:15" x14ac:dyDescent="0.25">
      <c r="A51" t="s">
        <v>166</v>
      </c>
      <c r="E51" s="219"/>
    </row>
    <row r="52" spans="1:15" ht="15.75" thickBot="1" x14ac:dyDescent="0.3"/>
    <row r="53" spans="1:15" ht="15.75" thickBot="1" x14ac:dyDescent="0.3">
      <c r="A53" s="254" t="s">
        <v>332</v>
      </c>
      <c r="B53" s="255"/>
      <c r="C53" s="255"/>
      <c r="D53" s="256"/>
      <c r="E53" s="257" t="s">
        <v>321</v>
      </c>
      <c r="F53" s="258"/>
      <c r="K53" s="263" t="s">
        <v>323</v>
      </c>
      <c r="L53" s="262" t="s">
        <v>333</v>
      </c>
    </row>
    <row r="54" spans="1:15" ht="15.75" thickBot="1" x14ac:dyDescent="0.3">
      <c r="A54" s="251" t="s">
        <v>314</v>
      </c>
      <c r="B54" s="252"/>
      <c r="C54" s="252"/>
      <c r="D54" s="253"/>
      <c r="E54" s="236" t="s">
        <v>326</v>
      </c>
      <c r="F54" s="237"/>
      <c r="K54" s="264" t="s">
        <v>107</v>
      </c>
      <c r="L54" s="28">
        <f>COUNTIF(B$31:B$50,K54)</f>
        <v>2</v>
      </c>
    </row>
    <row r="55" spans="1:15" ht="15.75" thickBot="1" x14ac:dyDescent="0.3">
      <c r="A55" s="221" t="s">
        <v>279</v>
      </c>
      <c r="B55" s="222" t="str">
        <f>TRIM(A55)</f>
        <v>Poliwrath</v>
      </c>
      <c r="C55" s="222">
        <v>253</v>
      </c>
      <c r="D55" s="223"/>
      <c r="E55" s="238"/>
      <c r="F55" s="239"/>
      <c r="K55" s="227" t="s">
        <v>109</v>
      </c>
      <c r="L55" s="223">
        <f t="shared" ref="L55:L62" si="8">COUNTIF(B$31:B$50,K55)</f>
        <v>6</v>
      </c>
    </row>
    <row r="56" spans="1:15" ht="15.75" thickBot="1" x14ac:dyDescent="0.3">
      <c r="A56" s="221" t="s">
        <v>280</v>
      </c>
      <c r="B56" s="222" t="str">
        <f t="shared" ref="B56:B64" si="9">TRIM(A56)</f>
        <v>Victreebel</v>
      </c>
      <c r="C56" s="222">
        <v>395</v>
      </c>
      <c r="D56" s="223"/>
      <c r="E56" s="235" t="s">
        <v>324</v>
      </c>
      <c r="F56" s="223">
        <f>COUNTBLANK(A55:A64)</f>
        <v>2</v>
      </c>
      <c r="K56" s="227" t="s">
        <v>130</v>
      </c>
      <c r="L56" s="223">
        <f t="shared" si="8"/>
        <v>1</v>
      </c>
    </row>
    <row r="57" spans="1:15" ht="15.75" thickBot="1" x14ac:dyDescent="0.3">
      <c r="A57" s="221"/>
      <c r="B57" s="222" t="str">
        <f t="shared" si="9"/>
        <v/>
      </c>
      <c r="C57" s="222">
        <v>310</v>
      </c>
      <c r="D57" s="222"/>
      <c r="E57" s="240" t="s">
        <v>328</v>
      </c>
      <c r="F57" s="241"/>
      <c r="K57" s="227" t="s">
        <v>162</v>
      </c>
      <c r="L57" s="223">
        <f t="shared" si="8"/>
        <v>2</v>
      </c>
    </row>
    <row r="58" spans="1:15" x14ac:dyDescent="0.25">
      <c r="A58" s="221" t="s">
        <v>282</v>
      </c>
      <c r="B58" s="222" t="str">
        <f t="shared" si="9"/>
        <v>Magneton</v>
      </c>
      <c r="C58" s="222">
        <v>475</v>
      </c>
      <c r="D58" s="222"/>
      <c r="E58" s="242" t="s">
        <v>325</v>
      </c>
      <c r="F58" s="223">
        <f>COUNT(B31:B50)</f>
        <v>0</v>
      </c>
      <c r="K58" s="227" t="s">
        <v>286</v>
      </c>
      <c r="L58" s="223">
        <f t="shared" si="8"/>
        <v>1</v>
      </c>
    </row>
    <row r="59" spans="1:15" ht="15.75" thickBot="1" x14ac:dyDescent="0.3">
      <c r="A59" s="221" t="s">
        <v>283</v>
      </c>
      <c r="B59" s="222" t="str">
        <f t="shared" si="9"/>
        <v>Dewgong</v>
      </c>
      <c r="C59" s="222">
        <v>505</v>
      </c>
      <c r="D59" s="222"/>
      <c r="E59" s="243"/>
      <c r="F59" s="244"/>
      <c r="K59" s="227" t="s">
        <v>108</v>
      </c>
      <c r="L59" s="223">
        <f t="shared" si="8"/>
        <v>3</v>
      </c>
    </row>
    <row r="60" spans="1:15" ht="15.75" thickBot="1" x14ac:dyDescent="0.3">
      <c r="A60" s="221" t="s">
        <v>284</v>
      </c>
      <c r="B60" s="222" t="str">
        <f t="shared" si="9"/>
        <v>Cloyster</v>
      </c>
      <c r="C60" s="222">
        <v>455</v>
      </c>
      <c r="D60" s="223"/>
      <c r="E60" s="257" t="s">
        <v>322</v>
      </c>
      <c r="F60" s="258"/>
      <c r="K60" s="228" t="s">
        <v>163</v>
      </c>
      <c r="L60" s="226">
        <f t="shared" si="8"/>
        <v>5</v>
      </c>
    </row>
    <row r="61" spans="1:15" ht="15.75" thickBot="1" x14ac:dyDescent="0.3">
      <c r="A61" s="221" t="s">
        <v>285</v>
      </c>
      <c r="B61" s="222" t="str">
        <f t="shared" si="9"/>
        <v>Onix</v>
      </c>
      <c r="C61" s="222">
        <v>405</v>
      </c>
      <c r="D61" s="223"/>
      <c r="E61" s="230" t="s">
        <v>327</v>
      </c>
      <c r="F61" s="231"/>
      <c r="K61" s="265" t="s">
        <v>336</v>
      </c>
      <c r="L61" s="258"/>
    </row>
    <row r="62" spans="1:15" x14ac:dyDescent="0.25">
      <c r="A62" s="221" t="s">
        <v>287</v>
      </c>
      <c r="B62" s="222" t="str">
        <f t="shared" si="9"/>
        <v>Dragonair</v>
      </c>
      <c r="C62" s="222">
        <v>438</v>
      </c>
      <c r="D62" s="223"/>
      <c r="E62" s="235" t="s">
        <v>329</v>
      </c>
      <c r="F62" s="227">
        <f>COUNTA(B31:C50)</f>
        <v>40</v>
      </c>
      <c r="K62" s="264" t="s">
        <v>311</v>
      </c>
      <c r="L62" s="28">
        <f>COUNTIF(C69:C77,"&gt;400")</f>
        <v>6</v>
      </c>
    </row>
    <row r="63" spans="1:15" ht="15.75" thickBot="1" x14ac:dyDescent="0.3">
      <c r="A63" s="221"/>
      <c r="B63" s="222" t="str">
        <f t="shared" si="9"/>
        <v/>
      </c>
      <c r="C63" s="222">
        <v>310</v>
      </c>
      <c r="D63" s="223"/>
      <c r="E63" s="233"/>
      <c r="F63" s="227"/>
      <c r="K63" s="228" t="s">
        <v>310</v>
      </c>
      <c r="L63" s="226">
        <f>COUNTIF(C$69:C$77,"&lt;400")</f>
        <v>3</v>
      </c>
    </row>
    <row r="64" spans="1:15" ht="15.75" thickBot="1" x14ac:dyDescent="0.3">
      <c r="A64" s="224" t="s">
        <v>289</v>
      </c>
      <c r="B64" s="225" t="str">
        <f t="shared" si="9"/>
        <v>Rattata</v>
      </c>
      <c r="C64" s="225">
        <v>200</v>
      </c>
      <c r="D64" s="226"/>
      <c r="E64" s="234"/>
      <c r="F64" s="228"/>
    </row>
    <row r="67" spans="1:4" ht="15.75" thickBot="1" x14ac:dyDescent="0.3"/>
    <row r="68" spans="1:4" ht="15.75" thickBot="1" x14ac:dyDescent="0.3">
      <c r="A68" s="267" t="s">
        <v>299</v>
      </c>
      <c r="B68" s="268" t="s">
        <v>124</v>
      </c>
      <c r="C68" s="266" t="s">
        <v>34</v>
      </c>
      <c r="D68" s="273" t="s">
        <v>335</v>
      </c>
    </row>
    <row r="69" spans="1:4" x14ac:dyDescent="0.25">
      <c r="A69" s="229" t="s">
        <v>300</v>
      </c>
      <c r="B69" s="27" t="s">
        <v>107</v>
      </c>
      <c r="C69" s="270">
        <v>318</v>
      </c>
      <c r="D69" s="232" t="str">
        <f>IF(C69&gt;400, "High", "Low")</f>
        <v>Low</v>
      </c>
    </row>
    <row r="70" spans="1:4" x14ac:dyDescent="0.25">
      <c r="A70" s="221" t="s">
        <v>301</v>
      </c>
      <c r="B70" s="222" t="s">
        <v>107</v>
      </c>
      <c r="C70" s="271">
        <v>405</v>
      </c>
      <c r="D70" s="233" t="str">
        <f t="shared" ref="D70:D77" si="10">IF(C70&gt;400, "High", "Low")</f>
        <v>High</v>
      </c>
    </row>
    <row r="71" spans="1:4" x14ac:dyDescent="0.25">
      <c r="A71" s="221" t="s">
        <v>302</v>
      </c>
      <c r="B71" s="222" t="s">
        <v>107</v>
      </c>
      <c r="C71" s="271">
        <v>525</v>
      </c>
      <c r="D71" s="233" t="str">
        <f t="shared" si="10"/>
        <v>High</v>
      </c>
    </row>
    <row r="72" spans="1:4" x14ac:dyDescent="0.25">
      <c r="A72" s="221" t="s">
        <v>303</v>
      </c>
      <c r="B72" s="222" t="s">
        <v>108</v>
      </c>
      <c r="C72" s="271">
        <v>309</v>
      </c>
      <c r="D72" s="233" t="str">
        <f t="shared" si="10"/>
        <v>Low</v>
      </c>
    </row>
    <row r="73" spans="1:4" x14ac:dyDescent="0.25">
      <c r="A73" s="221" t="s">
        <v>304</v>
      </c>
      <c r="B73" s="222" t="s">
        <v>108</v>
      </c>
      <c r="C73" s="271">
        <v>405</v>
      </c>
      <c r="D73" s="233" t="str">
        <f t="shared" si="10"/>
        <v>High</v>
      </c>
    </row>
    <row r="74" spans="1:4" x14ac:dyDescent="0.25">
      <c r="A74" s="221" t="s">
        <v>305</v>
      </c>
      <c r="B74" s="222" t="s">
        <v>108</v>
      </c>
      <c r="C74" s="271">
        <v>534</v>
      </c>
      <c r="D74" s="233" t="str">
        <f t="shared" si="10"/>
        <v>High</v>
      </c>
    </row>
    <row r="75" spans="1:4" x14ac:dyDescent="0.25">
      <c r="A75" s="221" t="s">
        <v>306</v>
      </c>
      <c r="B75" s="222" t="s">
        <v>109</v>
      </c>
      <c r="C75" s="271">
        <v>314</v>
      </c>
      <c r="D75" s="233" t="str">
        <f t="shared" si="10"/>
        <v>Low</v>
      </c>
    </row>
    <row r="76" spans="1:4" x14ac:dyDescent="0.25">
      <c r="A76" s="221" t="s">
        <v>307</v>
      </c>
      <c r="B76" s="222" t="s">
        <v>109</v>
      </c>
      <c r="C76" s="271">
        <v>405</v>
      </c>
      <c r="D76" s="233" t="str">
        <f t="shared" si="10"/>
        <v>High</v>
      </c>
    </row>
    <row r="77" spans="1:4" ht="15.75" thickBot="1" x14ac:dyDescent="0.3">
      <c r="A77" s="224" t="s">
        <v>308</v>
      </c>
      <c r="B77" s="225" t="s">
        <v>109</v>
      </c>
      <c r="C77" s="272">
        <v>530</v>
      </c>
      <c r="D77" s="234" t="str">
        <f t="shared" si="10"/>
        <v>High</v>
      </c>
    </row>
    <row r="78" spans="1:4" x14ac:dyDescent="0.25">
      <c r="A78" t="s">
        <v>309</v>
      </c>
    </row>
  </sheetData>
  <mergeCells count="12">
    <mergeCell ref="E61:F61"/>
    <mergeCell ref="E31:O31"/>
    <mergeCell ref="E30:O30"/>
    <mergeCell ref="K61:L61"/>
    <mergeCell ref="E60:F60"/>
    <mergeCell ref="A53:D53"/>
    <mergeCell ref="E57:F57"/>
    <mergeCell ref="E54:F55"/>
    <mergeCell ref="A1:C1"/>
    <mergeCell ref="A15:F15"/>
    <mergeCell ref="A54:D54"/>
    <mergeCell ref="E53:F53"/>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tabColor rgb="FF00B0F0"/>
  </sheetPr>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218" t="s">
        <v>29</v>
      </c>
      <c r="G20" s="218"/>
      <c r="H20" s="218"/>
      <c r="I20" s="218"/>
      <c r="J20" s="218"/>
      <c r="K20" s="218"/>
      <c r="L20" s="218"/>
      <c r="M20" s="218"/>
      <c r="N20" s="218"/>
      <c r="O20" s="218"/>
      <c r="P20" s="218"/>
      <c r="Q20" s="218"/>
      <c r="R20" s="218"/>
      <c r="S20" s="218"/>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Excel Basics</vt:lpstr>
      <vt:lpstr>Pivot Table and Chart</vt:lpstr>
      <vt:lpstr>Conditional Formatting</vt:lpstr>
      <vt:lpstr>Excel Functions</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2024-02-06T04:52:55Z</dcterms:modified>
</cp:coreProperties>
</file>