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hidePivotFieldList="1"/>
  <mc:AlternateContent xmlns:mc="http://schemas.openxmlformats.org/markup-compatibility/2006">
    <mc:Choice Requires="x15">
      <x15ac:absPath xmlns:x15ac="http://schemas.microsoft.com/office/spreadsheetml/2010/11/ac" url="C:\Work\HandsOn\HealthDB\"/>
    </mc:Choice>
  </mc:AlternateContent>
  <xr:revisionPtr revIDLastSave="0" documentId="13_ncr:1_{20081CB0-1740-48DD-B49B-ECA6C8120F96}" xr6:coauthVersionLast="47" xr6:coauthVersionMax="47" xr10:uidLastSave="{00000000-0000-0000-0000-000000000000}"/>
  <bookViews>
    <workbookView xWindow="-120" yWindow="-120" windowWidth="29040" windowHeight="15840" firstSheet="1" activeTab="1" xr2:uid="{00000000-000D-0000-FFFF-FFFF00000000}"/>
  </bookViews>
  <sheets>
    <sheet name="Sheet1" sheetId="1" state="hidden" r:id="rId1"/>
    <sheet name="Excel Basics" sheetId="5" r:id="rId2"/>
    <sheet name="Pivot Table and Chart" sheetId="4" r:id="rId3"/>
    <sheet name="shortcuts" sheetId="2" r:id="rId4"/>
    <sheet name="Sheet3" sheetId="6" r:id="rId5"/>
  </sheets>
  <functionGroups builtInGroupCount="19"/>
  <definedNames>
    <definedName name="_xlnm._FilterDatabase" localSheetId="1" hidden="1">'Excel Basics'!$A$31:$N$69</definedName>
    <definedName name="_xlnm._FilterDatabase" localSheetId="2" hidden="1">'Pivot Table and Chart'!$A$2:$G$2</definedName>
  </definedNames>
  <calcPr calcId="191029"/>
  <pivotCaches>
    <pivotCache cacheId="1" r:id="rId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9" i="5" l="1"/>
  <c r="D8" i="5"/>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3" i="4"/>
  <c r="B42" i="2"/>
  <c r="D39" i="2" l="1"/>
  <c r="D40" i="2"/>
  <c r="D41" i="2"/>
  <c r="D38" i="2"/>
  <c r="C22" i="2" a="1"/>
  <c r="C21" i="2" a="1"/>
  <c r="C24" i="2" a="1"/>
  <c r="C23" i="2" a="1"/>
  <c r="C21" i="2" l="1"/>
  <c r="C23" i="2"/>
  <c r="C22" i="2"/>
  <c r="C2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<sst xmlns="http://schemas.openxmlformats.org/spreadsheetml/2006/main" count="232" uniqueCount="103">
  <si>
    <t>Excel's Business Intelligence</t>
  </si>
  <si>
    <t>Raw Data</t>
  </si>
  <si>
    <t>File, Excel tables, DB(SQL, Azure)</t>
  </si>
  <si>
    <t>Power Query</t>
  </si>
  <si>
    <t>aka Get &amp; Transform</t>
  </si>
  <si>
    <t>Data Model</t>
  </si>
  <si>
    <t>Create Table relationships</t>
  </si>
  <si>
    <t>Power Pivot &amp; DAX</t>
  </si>
  <si>
    <t>Explore and analyze the entire data model</t>
  </si>
  <si>
    <t xml:space="preserve">DAX </t>
  </si>
  <si>
    <t>Data Analysis Experssions</t>
  </si>
  <si>
    <t>Raw</t>
  </si>
  <si>
    <t>Power</t>
  </si>
  <si>
    <t>Data</t>
  </si>
  <si>
    <t>Query</t>
  </si>
  <si>
    <t>Model</t>
  </si>
  <si>
    <t>Ctrl E</t>
  </si>
  <si>
    <t>on second row</t>
  </si>
  <si>
    <t>English</t>
  </si>
  <si>
    <t>Happy Thanksgiving</t>
  </si>
  <si>
    <t>I love my grandma</t>
  </si>
  <si>
    <t>=GOOGLETRANSLATE(B12,"en","fr")</t>
  </si>
  <si>
    <t>मैं अपनी दादी से प्यार करता हूं</t>
  </si>
  <si>
    <t>Hindi</t>
  </si>
  <si>
    <t>Review &gt;&gt; Translate</t>
  </si>
  <si>
    <t xml:space="preserve">Enter </t>
  </si>
  <si>
    <t>Sumita Rai</t>
  </si>
  <si>
    <t>=SPLT(B21)</t>
  </si>
  <si>
    <t>Create a splt function using Visual Basic Code</t>
  </si>
  <si>
    <t>View Code &gt;&gt; Current Workbook &gt;&gt; Insert &gt;&gt; Module &gt;&gt;  Create a Function</t>
  </si>
  <si>
    <t>Prakash Rai</t>
  </si>
  <si>
    <t>Lisa Rai</t>
  </si>
  <si>
    <t>Mimi Rai</t>
  </si>
  <si>
    <t>Net Profit</t>
  </si>
  <si>
    <t>Total</t>
  </si>
  <si>
    <t>ATL =</t>
  </si>
  <si>
    <t>OrderDate</t>
  </si>
  <si>
    <t>Region</t>
  </si>
  <si>
    <t>Rep</t>
  </si>
  <si>
    <t>Item</t>
  </si>
  <si>
    <t>Units</t>
  </si>
  <si>
    <t>Unit Cost</t>
  </si>
  <si>
    <t>Central</t>
  </si>
  <si>
    <t>Kivell</t>
  </si>
  <si>
    <t>Binder</t>
  </si>
  <si>
    <t>Jardine</t>
  </si>
  <si>
    <t>Pencil</t>
  </si>
  <si>
    <t>Gill</t>
  </si>
  <si>
    <t>Pen</t>
  </si>
  <si>
    <t>Andrews</t>
  </si>
  <si>
    <t>Morgan</t>
  </si>
  <si>
    <t>Smith</t>
  </si>
  <si>
    <t>Desk</t>
  </si>
  <si>
    <t>Pen Set</t>
  </si>
  <si>
    <t>East</t>
  </si>
  <si>
    <t>Jones</t>
  </si>
  <si>
    <t>Howard</t>
  </si>
  <si>
    <t>Parent</t>
  </si>
  <si>
    <t>West</t>
  </si>
  <si>
    <t>Sorvino</t>
  </si>
  <si>
    <t>Thompson</t>
  </si>
  <si>
    <t>Row Labels</t>
  </si>
  <si>
    <t>Grand Total</t>
  </si>
  <si>
    <t>Sum of Total</t>
  </si>
  <si>
    <t>Click on A3 cell &gt;&gt; click Insert on the top ribbon &gt; click Pivot table and then select the fields that wants to show in pivot table</t>
  </si>
  <si>
    <t>Click the cell and then</t>
  </si>
  <si>
    <t>हैप्पी थैंक्सगिविंग</t>
  </si>
  <si>
    <t>or click Translate from the ribbon</t>
  </si>
  <si>
    <r>
      <t>hotkey</t>
    </r>
    <r>
      <rPr>
        <b/>
        <sz val="12"/>
        <color theme="1"/>
        <rFont val="Calibri"/>
        <family val="2"/>
        <scheme val="minor"/>
      </rPr>
      <t xml:space="preserve"> Shift + F11</t>
    </r>
    <r>
      <rPr>
        <sz val="11"/>
        <color theme="1"/>
        <rFont val="Calibri"/>
        <family val="2"/>
        <scheme val="minor"/>
      </rPr>
      <t xml:space="preserve"> to create new sheets</t>
    </r>
  </si>
  <si>
    <r>
      <rPr>
        <b/>
        <sz val="11"/>
        <color theme="1"/>
        <rFont val="Calibri"/>
        <family val="2"/>
        <scheme val="minor"/>
      </rPr>
      <t>Ribbon</t>
    </r>
    <r>
      <rPr>
        <sz val="11"/>
        <color theme="1"/>
        <rFont val="Calibri"/>
        <family val="2"/>
        <scheme val="minor"/>
      </rPr>
      <t>: used to navigate and access commands. The Ribbon is made up by the App launcher, Tabs, Groups and Commands. In this section we will explain the different parts of the Ribbon.</t>
    </r>
  </si>
  <si>
    <r>
      <rPr>
        <b/>
        <sz val="11"/>
        <color theme="1"/>
        <rFont val="Calibri"/>
        <family val="2"/>
        <scheme val="minor"/>
      </rPr>
      <t>Sheet</t>
    </r>
    <r>
      <rPr>
        <sz val="11"/>
        <color theme="1"/>
        <rFont val="Calibri"/>
        <family val="2"/>
        <scheme val="minor"/>
      </rPr>
      <t>: columns and rows make cells. The reference of the cell is its coordinates. For example, C4 has the coordinates of column C and row 4. You find the cell in the intersection of the two. The letter is always the column and the number is always the row.</t>
    </r>
  </si>
  <si>
    <r>
      <rPr>
        <b/>
        <sz val="12"/>
        <color theme="1"/>
        <rFont val="Calibri"/>
        <family val="2"/>
        <scheme val="minor"/>
      </rPr>
      <t xml:space="preserve">Excel Syntax: </t>
    </r>
    <r>
      <rPr>
        <sz val="12"/>
        <color theme="1"/>
        <rFont val="Calibri"/>
        <family val="2"/>
        <scheme val="minor"/>
      </rPr>
      <t>A formula in Excel is used to do mathematical calculations. Formulas always start with the equal sign = typed in the cell, followed by your calculation.</t>
    </r>
  </si>
  <si>
    <r>
      <t xml:space="preserve">Excel is made of two components: </t>
    </r>
    <r>
      <rPr>
        <b/>
        <sz val="11"/>
        <color theme="1"/>
        <rFont val="Calibri"/>
        <family val="2"/>
        <scheme val="minor"/>
      </rPr>
      <t>Ribbon and Sheet</t>
    </r>
  </si>
  <si>
    <t>=1+1</t>
  </si>
  <si>
    <t>Type the equal sign (=) and then enter numeric value1 , arithemetic operator and numeric value2</t>
  </si>
  <si>
    <t>F7 (=D7-E7)</t>
  </si>
  <si>
    <t>Select cell F7 &gt; Type the equal sign (=) and then click D7 cell,  arithemetic operator and E7 cell &gt; Enter</t>
  </si>
  <si>
    <t>Note: You can make formulas with all four arithmetic operations, such as addition (+), subtraction (-), multiplication (*) and division (/).</t>
  </si>
  <si>
    <r>
      <rPr>
        <b/>
        <sz val="12"/>
        <color theme="1"/>
        <rFont val="Calibri"/>
        <family val="2"/>
        <scheme val="minor"/>
      </rPr>
      <t>Excel Ranges:</t>
    </r>
    <r>
      <rPr>
        <b/>
        <sz val="11"/>
        <color theme="1"/>
        <rFont val="Calibri"/>
        <family val="2"/>
        <scheme val="minor"/>
      </rPr>
      <t xml:space="preserve"> </t>
    </r>
    <r>
      <rPr>
        <sz val="11"/>
        <color theme="1"/>
        <rFont val="Calibri"/>
        <family val="2"/>
        <scheme val="minor"/>
      </rPr>
      <t>Range is an important part of Excel because it allows you to work with selections of cells</t>
    </r>
  </si>
  <si>
    <r>
      <rPr>
        <b/>
        <sz val="11"/>
        <color theme="1"/>
        <rFont val="Calibri"/>
        <family val="2"/>
        <scheme val="minor"/>
      </rPr>
      <t xml:space="preserve">Selecting Multiple Cells: </t>
    </r>
    <r>
      <rPr>
        <sz val="11"/>
        <color theme="1"/>
        <rFont val="Calibri"/>
        <family val="2"/>
        <scheme val="minor"/>
      </rPr>
      <t xml:space="preserve">More than one cell can be selected by pressing and holding down </t>
    </r>
    <r>
      <rPr>
        <b/>
        <sz val="11"/>
        <color theme="1"/>
        <rFont val="Calibri"/>
        <family val="2"/>
        <scheme val="minor"/>
      </rPr>
      <t>CTRL or Command and left clicking the cells</t>
    </r>
    <r>
      <rPr>
        <sz val="11"/>
        <color theme="1"/>
        <rFont val="Calibri"/>
        <family val="2"/>
        <scheme val="minor"/>
      </rPr>
      <t>. Once finished with selecting, you can let go of CTRL or Command.</t>
    </r>
  </si>
  <si>
    <r>
      <t xml:space="preserve">Type the range Column A, Row 1 : Column E, Row 10 &gt;&gt; </t>
    </r>
    <r>
      <rPr>
        <b/>
        <sz val="11"/>
        <color theme="1"/>
        <rFont val="Calibri"/>
        <family val="2"/>
        <scheme val="minor"/>
      </rPr>
      <t>A1:E10</t>
    </r>
  </si>
  <si>
    <r>
      <t xml:space="preserve">Tip: You can cut using the hotkey </t>
    </r>
    <r>
      <rPr>
        <b/>
        <sz val="12"/>
        <color theme="1"/>
        <rFont val="Calibri"/>
        <family val="2"/>
        <scheme val="minor"/>
      </rPr>
      <t>CTRL+X</t>
    </r>
    <r>
      <rPr>
        <sz val="11"/>
        <color theme="1"/>
        <rFont val="Calibri"/>
        <family val="2"/>
        <scheme val="minor"/>
      </rPr>
      <t xml:space="preserve">, or copy using  </t>
    </r>
    <r>
      <rPr>
        <b/>
        <sz val="12"/>
        <color theme="1"/>
        <rFont val="Calibri"/>
        <family val="2"/>
        <scheme val="minor"/>
      </rPr>
      <t xml:space="preserve">CTRL+C </t>
    </r>
    <r>
      <rPr>
        <sz val="11"/>
        <color theme="1"/>
        <rFont val="Calibri"/>
        <family val="2"/>
        <scheme val="minor"/>
      </rPr>
      <t xml:space="preserve">and paste by </t>
    </r>
    <r>
      <rPr>
        <b/>
        <sz val="12"/>
        <color theme="1"/>
        <rFont val="Calibri"/>
        <family val="2"/>
        <scheme val="minor"/>
      </rPr>
      <t>CTRL+V</t>
    </r>
    <r>
      <rPr>
        <sz val="11"/>
        <color theme="1"/>
        <rFont val="Calibri"/>
        <family val="2"/>
        <scheme val="minor"/>
      </rPr>
      <t>. This saves you time.</t>
    </r>
  </si>
  <si>
    <r>
      <t xml:space="preserve">Excel Move Cells </t>
    </r>
    <r>
      <rPr>
        <sz val="11"/>
        <color theme="1"/>
        <rFont val="Calibri"/>
        <family val="2"/>
        <scheme val="minor"/>
      </rPr>
      <t xml:space="preserve">&gt;&gt; There are two ways to move cells: </t>
    </r>
    <r>
      <rPr>
        <b/>
        <sz val="11"/>
        <color theme="1"/>
        <rFont val="Calibri"/>
        <family val="2"/>
        <scheme val="minor"/>
      </rPr>
      <t xml:space="preserve"> Copy and paste or by Drag and drop.</t>
    </r>
  </si>
  <si>
    <t>Drag and drop &gt;&gt; Select the cell range that need to move. Hover over the selected range until the mouse cursor change the symbol and then drag and drop by pressing and holding left mouse button to the cell you want to drop.</t>
  </si>
  <si>
    <r>
      <rPr>
        <b/>
        <sz val="12"/>
        <color theme="1"/>
        <rFont val="Calibri"/>
        <family val="2"/>
        <scheme val="minor"/>
      </rPr>
      <t xml:space="preserve">Double Click: </t>
    </r>
    <r>
      <rPr>
        <sz val="11"/>
        <color theme="1"/>
        <rFont val="Calibri"/>
        <family val="2"/>
        <scheme val="minor"/>
      </rPr>
      <t xml:space="preserve">The </t>
    </r>
    <r>
      <rPr>
        <b/>
        <sz val="11"/>
        <color theme="1"/>
        <rFont val="Calibri"/>
        <family val="2"/>
        <scheme val="minor"/>
      </rPr>
      <t>fill function</t>
    </r>
    <r>
      <rPr>
        <sz val="11"/>
        <color theme="1"/>
        <rFont val="Calibri"/>
        <family val="2"/>
        <scheme val="minor"/>
      </rPr>
      <t xml:space="preserve"> can be</t>
    </r>
    <r>
      <rPr>
        <sz val="11"/>
        <color rgb="FFFF0000"/>
        <rFont val="Calibri"/>
        <family val="2"/>
        <scheme val="minor"/>
      </rPr>
      <t xml:space="preserve"> </t>
    </r>
    <r>
      <rPr>
        <b/>
        <sz val="11"/>
        <color rgb="FFFF0000"/>
        <rFont val="Calibri"/>
        <family val="2"/>
        <scheme val="minor"/>
      </rPr>
      <t>double clicked</t>
    </r>
    <r>
      <rPr>
        <sz val="11"/>
        <color theme="1"/>
        <rFont val="Calibri"/>
        <family val="2"/>
        <scheme val="minor"/>
      </rPr>
      <t xml:space="preserve"> to complete formulas in a range. For the double click to work it has to see a recognizable pattern.
For example: by using headers, or with the formulas in the columns or rows next to the data.
Adding headers helped the function to understand the relationship between the data.</t>
    </r>
  </si>
  <si>
    <t>EXCEL TUTORIALS</t>
  </si>
  <si>
    <r>
      <t xml:space="preserve">keyboard shortcut for the Undo command &gt; </t>
    </r>
    <r>
      <rPr>
        <b/>
        <sz val="11"/>
        <color theme="1"/>
        <rFont val="Calibri"/>
        <family val="2"/>
        <scheme val="minor"/>
      </rPr>
      <t>CTRL + Z (Windows) / Command+Z (MAC)</t>
    </r>
  </si>
  <si>
    <r>
      <t xml:space="preserve">keyboard shortcut for the Redo command &gt; </t>
    </r>
    <r>
      <rPr>
        <b/>
        <sz val="11"/>
        <color theme="1"/>
        <rFont val="Calibri"/>
        <family val="2"/>
        <scheme val="minor"/>
      </rPr>
      <t>CTRL + Y (Windows) / Command + Y (MAC)</t>
    </r>
  </si>
  <si>
    <t>=SUM(25;15;5)</t>
  </si>
  <si>
    <r>
      <t xml:space="preserve">Values used in formulas can be typed directly or by using cells. The formula updates the result if the value of cells changes. The fill function can be used to continue your formulas upwards, downwards and sidewards. Excel has pre-built SUM functions, such as </t>
    </r>
    <r>
      <rPr>
        <sz val="11"/>
        <color rgb="FFFF0000"/>
        <rFont val="Calibri"/>
        <family val="2"/>
        <scheme val="minor"/>
      </rPr>
      <t>=</t>
    </r>
    <r>
      <rPr>
        <b/>
        <sz val="11"/>
        <color rgb="FFFF0000"/>
        <rFont val="Calibri"/>
        <family val="2"/>
        <scheme val="minor"/>
      </rPr>
      <t>SUM(E1:E4) or =SUM(25;15;5)</t>
    </r>
  </si>
  <si>
    <r>
      <rPr>
        <b/>
        <sz val="11"/>
        <color theme="1"/>
        <rFont val="Calibri"/>
        <family val="2"/>
        <scheme val="minor"/>
      </rPr>
      <t>Excel References</t>
    </r>
    <r>
      <rPr>
        <sz val="11"/>
        <color theme="1"/>
        <rFont val="Calibri"/>
        <family val="2"/>
        <scheme val="minor"/>
      </rPr>
      <t xml:space="preserve">: Excel has two types of references </t>
    </r>
    <r>
      <rPr>
        <b/>
        <sz val="11"/>
        <color theme="1"/>
        <rFont val="Calibri"/>
        <family val="2"/>
        <scheme val="minor"/>
      </rPr>
      <t>Relative and Absolute References</t>
    </r>
  </si>
  <si>
    <r>
      <rPr>
        <b/>
        <sz val="11"/>
        <color theme="1"/>
        <rFont val="Calibri"/>
        <family val="2"/>
        <scheme val="minor"/>
      </rPr>
      <t xml:space="preserve">Absolute References </t>
    </r>
    <r>
      <rPr>
        <sz val="11"/>
        <color theme="1"/>
        <rFont val="Calibri"/>
        <family val="2"/>
        <scheme val="minor"/>
      </rPr>
      <t xml:space="preserve">&gt;&gt; References use dollar sign ($). It locks a reference in the formula. 
- Absolute for column and row. The reference is absolutely locked. Example: </t>
    </r>
    <r>
      <rPr>
        <b/>
        <sz val="11"/>
        <color theme="1"/>
        <rFont val="Calibri"/>
        <family val="2"/>
        <scheme val="minor"/>
      </rPr>
      <t xml:space="preserve">=$A$1
- </t>
    </r>
    <r>
      <rPr>
        <sz val="11"/>
        <color theme="1"/>
        <rFont val="Calibri"/>
        <family val="2"/>
        <scheme val="minor"/>
      </rPr>
      <t xml:space="preserve">Absolute for the column. The reference is locked to that column. The row remains relative. Example </t>
    </r>
    <r>
      <rPr>
        <b/>
        <sz val="11"/>
        <color theme="1"/>
        <rFont val="Calibri"/>
        <family val="2"/>
        <scheme val="minor"/>
      </rPr>
      <t>=$A1</t>
    </r>
    <r>
      <rPr>
        <sz val="11"/>
        <color theme="1"/>
        <rFont val="Calibri"/>
        <family val="2"/>
        <scheme val="minor"/>
      </rPr>
      <t xml:space="preserve">
- Absolute for the row. The reference is locked to that row. The column remains relative. Example </t>
    </r>
    <r>
      <rPr>
        <b/>
        <sz val="11"/>
        <color theme="1"/>
        <rFont val="Calibri"/>
        <family val="2"/>
        <scheme val="minor"/>
      </rPr>
      <t>=A$1</t>
    </r>
  </si>
  <si>
    <t>Example: 2 Entries</t>
  </si>
  <si>
    <t>Example: Multi cells</t>
  </si>
  <si>
    <r>
      <t>When using more advanced formulas you may need to nest parentheses. You can look at this like an onion, which has many layers. Excel will calculate the numbers inside the parentheses first, layer by layer, starting with the inner layer.
Example:</t>
    </r>
    <r>
      <rPr>
        <b/>
        <sz val="11"/>
        <color theme="1"/>
        <rFont val="Calibri"/>
        <family val="2"/>
        <scheme val="minor"/>
      </rPr>
      <t xml:space="preserve"> =((2*2)+(3*4)+(5*5))*2</t>
    </r>
  </si>
  <si>
    <r>
      <rPr>
        <b/>
        <sz val="11"/>
        <color theme="1"/>
        <rFont val="Calibri"/>
        <family val="2"/>
        <scheme val="minor"/>
      </rPr>
      <t>Excel Parentheses</t>
    </r>
    <r>
      <rPr>
        <sz val="11"/>
        <color theme="1"/>
        <rFont val="Calibri"/>
        <family val="2"/>
        <scheme val="minor"/>
      </rPr>
      <t xml:space="preserve">: Parentheses () is used to change the order of an operation. Example: </t>
    </r>
    <r>
      <rPr>
        <b/>
        <sz val="11"/>
        <color theme="1"/>
        <rFont val="Calibri"/>
        <family val="2"/>
        <scheme val="minor"/>
      </rPr>
      <t>=(10+5)*2</t>
    </r>
  </si>
  <si>
    <r>
      <rPr>
        <b/>
        <sz val="11"/>
        <color theme="1"/>
        <rFont val="Calibri"/>
        <family val="2"/>
        <scheme val="minor"/>
      </rPr>
      <t xml:space="preserve">Relative References </t>
    </r>
    <r>
      <rPr>
        <sz val="11"/>
        <color theme="1"/>
        <rFont val="Calibri"/>
        <family val="2"/>
        <scheme val="minor"/>
      </rPr>
      <t xml:space="preserve">&gt;&gt; References are relative by default, and are without dollar sign ($). The relative reference makes the cells reference free. 
It gives the fill function freedom to continue the order without restrictions. Example: </t>
    </r>
    <r>
      <rPr>
        <b/>
        <sz val="11"/>
        <color theme="1"/>
        <rFont val="Calibri"/>
        <family val="2"/>
        <scheme val="minor"/>
      </rPr>
      <t>=A1</t>
    </r>
  </si>
  <si>
    <r>
      <rPr>
        <b/>
        <sz val="11"/>
        <color theme="1"/>
        <rFont val="Calibri"/>
        <family val="2"/>
        <scheme val="minor"/>
      </rPr>
      <t>Excel Functions:</t>
    </r>
    <r>
      <rPr>
        <sz val="11"/>
        <color theme="1"/>
        <rFont val="Calibri"/>
        <family val="2"/>
        <scheme val="minor"/>
      </rPr>
      <t xml:space="preserve"> Excel has many premade formulas, called functions.</t>
    </r>
  </si>
  <si>
    <r>
      <rPr>
        <b/>
        <sz val="11"/>
        <color theme="1"/>
        <rFont val="Calibri"/>
        <family val="2"/>
        <scheme val="minor"/>
      </rPr>
      <t>Excel Format Grids:</t>
    </r>
    <r>
      <rPr>
        <sz val="11"/>
        <color theme="1"/>
        <rFont val="Calibri"/>
        <family val="2"/>
        <scheme val="minor"/>
      </rPr>
      <t xml:space="preserve"> By default, gridlines are displayed in Excel. 
Click view in the Ribbon navigation bar and uncheck gridlines to remove grids.</t>
    </r>
  </si>
  <si>
    <r>
      <rPr>
        <b/>
        <sz val="11"/>
        <color theme="1"/>
        <rFont val="Calibri"/>
        <family val="2"/>
        <scheme val="minor"/>
      </rPr>
      <t>Excel Format Settings</t>
    </r>
    <r>
      <rPr>
        <sz val="11"/>
        <color theme="1"/>
        <rFont val="Calibri"/>
        <family val="2"/>
        <scheme val="minor"/>
      </rPr>
      <t>: Changing Format Settings is accessed in the options part of the File menu</t>
    </r>
  </si>
  <si>
    <r>
      <rPr>
        <b/>
        <sz val="12"/>
        <color theme="1"/>
        <rFont val="Calibri"/>
        <family val="2"/>
        <scheme val="minor"/>
      </rPr>
      <t xml:space="preserve">Excel Data Analysis: </t>
    </r>
    <r>
      <rPr>
        <sz val="12"/>
        <color theme="1"/>
        <rFont val="Calibri"/>
        <family val="2"/>
        <scheme val="minor"/>
      </rPr>
      <t xml:space="preserve"> Analysis can be done by sorting, filtering, formating, applying rules and charts</t>
    </r>
  </si>
  <si>
    <r>
      <rPr>
        <b/>
        <sz val="11"/>
        <color theme="1"/>
        <rFont val="Calibri"/>
        <family val="2"/>
        <scheme val="minor"/>
      </rPr>
      <t>Excel Sorting:</t>
    </r>
    <r>
      <rPr>
        <sz val="11"/>
        <color theme="1"/>
        <rFont val="Calibri"/>
        <family val="2"/>
        <scheme val="minor"/>
      </rPr>
      <t xml:space="preserve"> Ranges can be sorted using the Sort Ascending and Sort Descending commands. The commands are found in the Ribbon under the Sort &amp; Filter menu dropdown.</t>
    </r>
  </si>
  <si>
    <r>
      <rPr>
        <b/>
        <sz val="11"/>
        <color theme="1"/>
        <rFont val="Calibri"/>
        <family val="2"/>
        <scheme val="minor"/>
      </rPr>
      <t>Excel Filter:</t>
    </r>
    <r>
      <rPr>
        <sz val="11"/>
        <color theme="1"/>
        <rFont val="Calibri"/>
        <family val="2"/>
        <scheme val="minor"/>
      </rPr>
      <t xml:space="preserve"> Filters can be applied to sort and hide data. It makes data analysis easier. It is important to have a row of headers when applying filters. Having headers is useful to make the data understandable.
New buttons have been added to the cells in the top row. This indicates that the Filter was successfully applied. 
Click the drop down menu and choose the Filter option &gt;&gt; All items are checked by default. The checked items are the ones that are shown. Uncheck to hide.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</si>
</sst>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6"/>
      <color theme="1"/>
      <name val="Calibri"/>
      <family val="2"/>
      <scheme val="minor"/>
    </font>
    <font>
      <sz val="11"/>
      <color rgb="FFFF0000"/>
      <name val="Calibri"/>
      <family val="2"/>
      <scheme val="minor"/>
    </font>
    <font>
      <b/>
      <sz val="11"/>
      <color rgb="FFFF0000"/>
      <name val="Calibri"/>
      <family val="2"/>
      <scheme val="minor"/>
    </font>
    <font>
      <b/>
      <sz val="12"/>
      <color theme="1"/>
      <name val="Calibri"/>
      <family val="2"/>
      <scheme val="minor"/>
    </font>
    <font>
      <sz val="12"/>
      <color theme="1"/>
      <name val="Calibri"/>
      <family val="2"/>
      <scheme val="minor"/>
    </font>
    <font>
      <sz val="12"/>
      <color rgb="FF000000"/>
      <name val="Consolas"/>
      <family val="3"/>
    </font>
  </fonts>
  <fills count="4">
    <fill>
      <patternFill patternType="none"/>
    </fill>
    <fill>
      <patternFill patternType="gray125"/>
    </fill>
    <fill>
      <patternFill patternType="solid">
        <fgColor rgb="FFFFFF00"/>
        <bgColor indexed="64"/>
      </patternFill>
    </fill>
    <fill>
      <patternFill patternType="solid">
        <fgColor rgb="FFFFFFCC"/>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medium">
        <color indexed="64"/>
      </left>
      <right/>
      <top style="thin">
        <color indexed="64"/>
      </top>
      <bottom style="thin">
        <color indexed="64"/>
      </bottom>
      <diagonal/>
    </border>
  </borders>
  <cellStyleXfs count="1">
    <xf numFmtId="0" fontId="0" fillId="0" borderId="0"/>
  </cellStyleXfs>
  <cellXfs count="75">
    <xf numFmtId="0" fontId="0" fillId="0" borderId="0" xfId="0"/>
    <xf numFmtId="0" fontId="0" fillId="0" borderId="1" xfId="0" applyBorder="1"/>
    <xf numFmtId="0" fontId="2" fillId="0" borderId="0" xfId="0" applyFont="1"/>
    <xf numFmtId="0" fontId="0" fillId="2" borderId="0" xfId="0" applyFill="1"/>
    <xf numFmtId="0" fontId="0" fillId="2" borderId="1" xfId="0" applyFill="1" applyBorder="1"/>
    <xf numFmtId="0" fontId="0" fillId="0" borderId="0" xfId="0" applyAlignment="1">
      <alignment horizontal="right"/>
    </xf>
    <xf numFmtId="0" fontId="1" fillId="0" borderId="0" xfId="0" quotePrefix="1" applyFont="1"/>
    <xf numFmtId="0" fontId="0" fillId="0" borderId="1" xfId="0" quotePrefix="1" applyBorder="1"/>
    <xf numFmtId="0" fontId="3" fillId="0" borderId="0" xfId="0" quotePrefix="1" applyFont="1"/>
    <xf numFmtId="0" fontId="0" fillId="0" borderId="0" xfId="0" applyAlignment="1">
      <alignment wrapText="1"/>
    </xf>
    <xf numFmtId="0" fontId="1" fillId="0" borderId="0" xfId="0" applyFont="1"/>
    <xf numFmtId="0" fontId="0" fillId="0" borderId="0" xfId="0" applyAlignment="1">
      <alignment horizontal="center" vertical="center"/>
    </xf>
    <xf numFmtId="0" fontId="0" fillId="0" borderId="0" xfId="0" pivotButton="1"/>
    <xf numFmtId="0" fontId="0" fillId="0" borderId="0" xfId="0" applyAlignment="1">
      <alignment horizontal="left"/>
    </xf>
    <xf numFmtId="14" fontId="0" fillId="0" borderId="0" xfId="0" applyNumberFormat="1"/>
    <xf numFmtId="0" fontId="0" fillId="0" borderId="0" xfId="0" applyAlignment="1">
      <alignment horizontal="left" indent="1"/>
    </xf>
    <xf numFmtId="14" fontId="1" fillId="0" borderId="12" xfId="0" applyNumberFormat="1" applyFont="1" applyBorder="1"/>
    <xf numFmtId="0" fontId="1" fillId="0" borderId="12" xfId="0" applyFont="1" applyBorder="1"/>
    <xf numFmtId="0" fontId="0" fillId="0" borderId="10" xfId="0" applyBorder="1"/>
    <xf numFmtId="0" fontId="0" fillId="0" borderId="13" xfId="0" applyBorder="1"/>
    <xf numFmtId="14" fontId="0" fillId="0" borderId="14" xfId="0" applyNumberFormat="1" applyBorder="1"/>
    <xf numFmtId="0" fontId="0" fillId="0" borderId="15" xfId="0" applyBorder="1"/>
    <xf numFmtId="14" fontId="0" fillId="0" borderId="6" xfId="0" applyNumberFormat="1" applyBorder="1"/>
    <xf numFmtId="0" fontId="0" fillId="0" borderId="7" xfId="0" applyBorder="1"/>
    <xf numFmtId="0" fontId="0" fillId="0" borderId="8" xfId="0" applyBorder="1"/>
    <xf numFmtId="14" fontId="0" fillId="2" borderId="9" xfId="0" applyNumberFormat="1" applyFill="1" applyBorder="1"/>
    <xf numFmtId="0" fontId="0" fillId="0" borderId="0" xfId="0" quotePrefix="1"/>
    <xf numFmtId="0" fontId="0" fillId="0" borderId="20" xfId="0" applyBorder="1" applyAlignment="1">
      <alignment vertical="center" wrapText="1"/>
    </xf>
    <xf numFmtId="0" fontId="0" fillId="0" borderId="1" xfId="0" applyBorder="1" applyAlignment="1">
      <alignment vertical="center" wrapText="1"/>
    </xf>
    <xf numFmtId="0" fontId="0" fillId="0" borderId="20" xfId="0" quotePrefix="1" applyBorder="1" applyAlignment="1">
      <alignment vertical="center" wrapText="1"/>
    </xf>
    <xf numFmtId="0" fontId="0" fillId="0" borderId="16" xfId="0" applyBorder="1" applyAlignment="1">
      <alignment horizontal="left" vertical="center" wrapText="1"/>
    </xf>
    <xf numFmtId="0" fontId="0" fillId="0" borderId="16" xfId="0" quotePrefix="1" applyBorder="1" applyAlignment="1">
      <alignment vertical="center" wrapText="1"/>
    </xf>
    <xf numFmtId="0" fontId="0" fillId="0" borderId="11" xfId="0" applyBorder="1" applyAlignment="1">
      <alignment horizontal="left" vertical="center" wrapText="1"/>
    </xf>
    <xf numFmtId="0" fontId="9" fillId="0" borderId="0" xfId="0" applyFont="1"/>
    <xf numFmtId="0" fontId="1" fillId="3" borderId="2" xfId="0" applyFont="1" applyFill="1" applyBorder="1" applyAlignment="1">
      <alignment horizontal="left" vertical="center" wrapText="1"/>
    </xf>
    <xf numFmtId="0" fontId="0" fillId="0" borderId="25" xfId="0" applyBorder="1" applyAlignment="1">
      <alignment horizontal="center" vertical="center"/>
    </xf>
    <xf numFmtId="0" fontId="0" fillId="0" borderId="26" xfId="0" applyBorder="1" applyAlignment="1">
      <alignment horizontal="center" vertical="center"/>
    </xf>
    <xf numFmtId="0" fontId="1" fillId="0" borderId="26" xfId="0" applyFont="1" applyBorder="1" applyAlignment="1">
      <alignment horizontal="center" vertical="center"/>
    </xf>
    <xf numFmtId="0" fontId="0" fillId="0" borderId="1" xfId="0" applyBorder="1" applyAlignment="1">
      <alignment horizontal="center"/>
    </xf>
    <xf numFmtId="0" fontId="0" fillId="0" borderId="31"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0" xfId="0" applyBorder="1" applyAlignment="1">
      <alignment horizontal="left" vertical="center" wrapText="1"/>
    </xf>
    <xf numFmtId="0" fontId="0" fillId="0" borderId="1" xfId="0" applyBorder="1" applyAlignment="1">
      <alignment horizontal="left" vertical="center" wrapText="1"/>
    </xf>
    <xf numFmtId="0" fontId="0" fillId="0" borderId="21" xfId="0" applyBorder="1" applyAlignment="1">
      <alignment horizontal="left" vertical="center" wrapText="1"/>
    </xf>
    <xf numFmtId="0" fontId="0" fillId="0" borderId="22" xfId="0" applyBorder="1" applyAlignment="1">
      <alignment horizontal="lef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27" xfId="0" applyBorder="1" applyAlignment="1">
      <alignment horizontal="left" vertical="center" wrapText="1"/>
    </xf>
    <xf numFmtId="0" fontId="0" fillId="0" borderId="29" xfId="0" applyBorder="1" applyAlignment="1">
      <alignment horizontal="left" vertical="center" wrapText="1"/>
    </xf>
    <xf numFmtId="0" fontId="0" fillId="0" borderId="28" xfId="0" applyBorder="1" applyAlignment="1">
      <alignment horizontal="left" vertical="center" wrapText="1"/>
    </xf>
    <xf numFmtId="0" fontId="0" fillId="3" borderId="31" xfId="0" applyFill="1" applyBorder="1" applyAlignment="1">
      <alignment horizontal="left" vertical="center" wrapText="1"/>
    </xf>
    <xf numFmtId="0" fontId="0" fillId="3" borderId="27" xfId="0" applyFill="1" applyBorder="1" applyAlignment="1">
      <alignment horizontal="left" vertical="center" wrapText="1"/>
    </xf>
    <xf numFmtId="0" fontId="0" fillId="3" borderId="28" xfId="0" applyFill="1" applyBorder="1" applyAlignment="1">
      <alignment horizontal="left" vertical="center" wrapText="1"/>
    </xf>
    <xf numFmtId="0" fontId="8" fillId="0" borderId="20" xfId="0" applyFont="1" applyBorder="1" applyAlignment="1">
      <alignment horizontal="left" vertical="center" wrapText="1"/>
    </xf>
    <xf numFmtId="0" fontId="1" fillId="0" borderId="20" xfId="0" applyFont="1" applyBorder="1" applyAlignment="1">
      <alignment horizontal="left" vertical="center" wrapText="1"/>
    </xf>
    <xf numFmtId="0" fontId="1" fillId="0" borderId="1" xfId="0" applyFont="1" applyBorder="1" applyAlignment="1">
      <alignment horizontal="left" vertical="center" wrapText="1"/>
    </xf>
    <xf numFmtId="0" fontId="1" fillId="0" borderId="21" xfId="0" applyFont="1" applyBorder="1" applyAlignment="1">
      <alignment horizontal="left" vertical="center" wrapText="1"/>
    </xf>
    <xf numFmtId="0" fontId="0" fillId="3" borderId="20" xfId="0" applyFill="1" applyBorder="1" applyAlignment="1">
      <alignment horizontal="left" vertical="center" wrapText="1"/>
    </xf>
    <xf numFmtId="0" fontId="0" fillId="3" borderId="1" xfId="0" applyFill="1" applyBorder="1" applyAlignment="1">
      <alignment horizontal="left" vertical="center" wrapText="1"/>
    </xf>
    <xf numFmtId="0" fontId="0" fillId="3" borderId="21" xfId="0" applyFill="1" applyBorder="1" applyAlignment="1">
      <alignment horizontal="left" vertical="center" wrapText="1"/>
    </xf>
    <xf numFmtId="0" fontId="0" fillId="3" borderId="11" xfId="0" applyFill="1" applyBorder="1" applyAlignment="1">
      <alignment horizontal="left" vertical="center" wrapText="1"/>
    </xf>
    <xf numFmtId="0" fontId="0" fillId="0" borderId="17" xfId="0" applyBorder="1" applyAlignment="1">
      <alignment horizontal="left" vertical="center" wrapText="1"/>
    </xf>
    <xf numFmtId="0" fontId="0" fillId="0" borderId="18" xfId="0" applyBorder="1" applyAlignment="1">
      <alignment horizontal="left" vertical="center" wrapText="1"/>
    </xf>
    <xf numFmtId="0" fontId="0" fillId="0" borderId="19" xfId="0" applyBorder="1" applyAlignment="1">
      <alignment horizontal="left" vertical="center" wrapText="1"/>
    </xf>
    <xf numFmtId="0" fontId="8" fillId="0" borderId="1" xfId="0" applyFont="1" applyBorder="1" applyAlignment="1">
      <alignment horizontal="left" vertical="center" wrapText="1"/>
    </xf>
    <xf numFmtId="0" fontId="8" fillId="0" borderId="30" xfId="0" applyFont="1" applyBorder="1" applyAlignment="1">
      <alignment horizontal="left" vertical="center" wrapText="1"/>
    </xf>
    <xf numFmtId="0" fontId="8" fillId="0" borderId="21" xfId="0" applyFont="1" applyBorder="1" applyAlignment="1">
      <alignment horizontal="left" vertical="center" wrapText="1"/>
    </xf>
    <xf numFmtId="0" fontId="4" fillId="0" borderId="3" xfId="0" applyFont="1" applyBorder="1" applyAlignment="1">
      <alignment horizontal="center"/>
    </xf>
    <xf numFmtId="0" fontId="4" fillId="0" borderId="4" xfId="0" applyFont="1" applyBorder="1" applyAlignment="1">
      <alignment horizontal="center"/>
    </xf>
    <xf numFmtId="0" fontId="4" fillId="0" borderId="5" xfId="0" applyFont="1" applyBorder="1" applyAlignment="1">
      <alignment horizontal="center"/>
    </xf>
    <xf numFmtId="14" fontId="6" fillId="3" borderId="3" xfId="0" applyNumberFormat="1" applyFont="1" applyFill="1" applyBorder="1" applyAlignment="1">
      <alignment horizontal="left" vertical="center"/>
    </xf>
    <xf numFmtId="14" fontId="6" fillId="3" borderId="4" xfId="0" applyNumberFormat="1" applyFont="1" applyFill="1" applyBorder="1" applyAlignment="1">
      <alignment horizontal="left" vertical="center"/>
    </xf>
    <xf numFmtId="14" fontId="6" fillId="3" borderId="5" xfId="0" applyNumberFormat="1" applyFont="1" applyFill="1" applyBorder="1" applyAlignment="1">
      <alignment horizontal="left" vertical="center"/>
    </xf>
    <xf numFmtId="0" fontId="4" fillId="0" borderId="0" xfId="0" applyFont="1" applyAlignment="1">
      <alignment horizontal="center"/>
    </xf>
  </cellXfs>
  <cellStyles count="1">
    <cellStyle name="Normal" xfId="0" builtinId="0"/>
  </cellStyles>
  <dxfs count="0"/>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Learning.xlsm]Pivot Table and Chart!PivotTable4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 and Chart'!$J$2</c:f>
              <c:strCache>
                <c:ptCount val="1"/>
                <c:pt idx="0">
                  <c:v>Total</c:v>
                </c:pt>
              </c:strCache>
            </c:strRef>
          </c:tx>
          <c:spPr>
            <a:solidFill>
              <a:schemeClr val="accent1"/>
            </a:solidFill>
            <a:ln>
              <a:noFill/>
            </a:ln>
            <a:effectLst/>
          </c:spPr>
          <c:invertIfNegative val="0"/>
          <c:cat>
            <c:multiLvlStrRef>
              <c:f>'Pivot Table and Chart'!$I$3:$I$17</c:f>
              <c:multiLvlStrCache>
                <c:ptCount val="11"/>
                <c:lvl>
                  <c:pt idx="0">
                    <c:v>Andrews</c:v>
                  </c:pt>
                  <c:pt idx="1">
                    <c:v>Gill</c:v>
                  </c:pt>
                  <c:pt idx="2">
                    <c:v>Jardine</c:v>
                  </c:pt>
                  <c:pt idx="3">
                    <c:v>Kivell</c:v>
                  </c:pt>
                  <c:pt idx="4">
                    <c:v>Morgan</c:v>
                  </c:pt>
                  <c:pt idx="5">
                    <c:v>Smith</c:v>
                  </c:pt>
                  <c:pt idx="6">
                    <c:v>Howard</c:v>
                  </c:pt>
                  <c:pt idx="7">
                    <c:v>Jones</c:v>
                  </c:pt>
                  <c:pt idx="8">
                    <c:v>Parent</c:v>
                  </c:pt>
                  <c:pt idx="9">
                    <c:v>Sorvino</c:v>
                  </c:pt>
                  <c:pt idx="10">
                    <c:v>Thompson</c:v>
                  </c:pt>
                </c:lvl>
                <c:lvl>
                  <c:pt idx="0">
                    <c:v>Central</c:v>
                  </c:pt>
                  <c:pt idx="6">
                    <c:v>East</c:v>
                  </c:pt>
                  <c:pt idx="9">
                    <c:v>West</c:v>
                  </c:pt>
                </c:lvl>
              </c:multiLvlStrCache>
            </c:multiLvlStrRef>
          </c:cat>
          <c:val>
            <c:numRef>
              <c:f>'Pivot Table and Chart'!$J$3:$J$17</c:f>
              <c:numCache>
                <c:formatCode>General</c:formatCode>
                <c:ptCount val="11"/>
                <c:pt idx="0">
                  <c:v>438.37</c:v>
                </c:pt>
                <c:pt idx="1">
                  <c:v>1749.8700000000001</c:v>
                </c:pt>
                <c:pt idx="2">
                  <c:v>2832.15</c:v>
                </c:pt>
                <c:pt idx="3">
                  <c:v>3109.44</c:v>
                </c:pt>
                <c:pt idx="4">
                  <c:v>1387.77</c:v>
                </c:pt>
                <c:pt idx="5">
                  <c:v>2191.4300000000003</c:v>
                </c:pt>
                <c:pt idx="6">
                  <c:v>536.75</c:v>
                </c:pt>
                <c:pt idx="7">
                  <c:v>2373.08</c:v>
                </c:pt>
                <c:pt idx="8">
                  <c:v>3102.2999999999997</c:v>
                </c:pt>
                <c:pt idx="9">
                  <c:v>1283.6099999999999</c:v>
                </c:pt>
                <c:pt idx="10">
                  <c:v>1203.1099999999999</c:v>
                </c:pt>
              </c:numCache>
            </c:numRef>
          </c:val>
          <c:extLst>
            <c:ext xmlns:c16="http://schemas.microsoft.com/office/drawing/2014/chart" uri="{C3380CC4-5D6E-409C-BE32-E72D297353CC}">
              <c16:uniqueId val="{00000000-D267-4830-9F92-C582FBDBFA3E}"/>
            </c:ext>
          </c:extLst>
        </c:ser>
        <c:dLbls>
          <c:showLegendKey val="0"/>
          <c:showVal val="0"/>
          <c:showCatName val="0"/>
          <c:showSerName val="0"/>
          <c:showPercent val="0"/>
          <c:showBubbleSize val="0"/>
        </c:dLbls>
        <c:gapWidth val="219"/>
        <c:overlap val="-27"/>
        <c:axId val="2103715296"/>
        <c:axId val="2103720096"/>
      </c:barChart>
      <c:catAx>
        <c:axId val="2103715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3720096"/>
        <c:crosses val="autoZero"/>
        <c:auto val="1"/>
        <c:lblAlgn val="ctr"/>
        <c:lblOffset val="100"/>
        <c:noMultiLvlLbl val="0"/>
      </c:catAx>
      <c:valAx>
        <c:axId val="21037200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037152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9.pn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11</xdr:col>
      <xdr:colOff>107674</xdr:colOff>
      <xdr:row>5</xdr:row>
      <xdr:rowOff>14493</xdr:rowOff>
    </xdr:from>
    <xdr:to>
      <xdr:col>12</xdr:col>
      <xdr:colOff>766366</xdr:colOff>
      <xdr:row>9</xdr:row>
      <xdr:rowOff>153050</xdr:rowOff>
    </xdr:to>
    <xdr:pic>
      <xdr:nvPicPr>
        <xdr:cNvPr id="2" name="Picture 1">
          <a:extLst>
            <a:ext uri="{FF2B5EF4-FFF2-40B4-BE49-F238E27FC236}">
              <a16:creationId xmlns:a16="http://schemas.microsoft.com/office/drawing/2014/main" id="{5DAD647D-6ECE-D8E8-04BC-D3E0D1A78984}"/>
            </a:ext>
          </a:extLst>
        </xdr:cNvPr>
        <xdr:cNvPicPr>
          <a:picLocks noChangeAspect="1"/>
        </xdr:cNvPicPr>
      </xdr:nvPicPr>
      <xdr:blipFill>
        <a:blip xmlns:r="http://schemas.openxmlformats.org/officeDocument/2006/relationships" r:embed="rId1"/>
        <a:stretch>
          <a:fillRect/>
        </a:stretch>
      </xdr:blipFill>
      <xdr:spPr>
        <a:xfrm>
          <a:off x="12117457" y="1182341"/>
          <a:ext cx="1851388" cy="1091057"/>
        </a:xfrm>
        <a:prstGeom prst="rect">
          <a:avLst/>
        </a:prstGeom>
      </xdr:spPr>
    </xdr:pic>
    <xdr:clientData/>
  </xdr:twoCellAnchor>
  <xdr:twoCellAnchor editAs="oneCell">
    <xdr:from>
      <xdr:col>8</xdr:col>
      <xdr:colOff>728871</xdr:colOff>
      <xdr:row>14</xdr:row>
      <xdr:rowOff>19880</xdr:rowOff>
    </xdr:from>
    <xdr:to>
      <xdr:col>12</xdr:col>
      <xdr:colOff>456674</xdr:colOff>
      <xdr:row>18</xdr:row>
      <xdr:rowOff>6344</xdr:rowOff>
    </xdr:to>
    <xdr:pic>
      <xdr:nvPicPr>
        <xdr:cNvPr id="3" name="Picture 2">
          <a:extLst>
            <a:ext uri="{FF2B5EF4-FFF2-40B4-BE49-F238E27FC236}">
              <a16:creationId xmlns:a16="http://schemas.microsoft.com/office/drawing/2014/main" id="{837D26C5-A630-B325-ECAC-B99232F7018C}"/>
            </a:ext>
          </a:extLst>
        </xdr:cNvPr>
        <xdr:cNvPicPr>
          <a:picLocks noChangeAspect="1"/>
        </xdr:cNvPicPr>
      </xdr:nvPicPr>
      <xdr:blipFill>
        <a:blip xmlns:r="http://schemas.openxmlformats.org/officeDocument/2006/relationships" r:embed="rId2"/>
        <a:stretch>
          <a:fillRect/>
        </a:stretch>
      </xdr:blipFill>
      <xdr:spPr>
        <a:xfrm>
          <a:off x="8953501" y="3357771"/>
          <a:ext cx="4473738" cy="1245421"/>
        </a:xfrm>
        <a:prstGeom prst="rect">
          <a:avLst/>
        </a:prstGeom>
      </xdr:spPr>
    </xdr:pic>
    <xdr:clientData/>
  </xdr:twoCellAnchor>
  <xdr:twoCellAnchor editAs="oneCell">
    <xdr:from>
      <xdr:col>12</xdr:col>
      <xdr:colOff>520360</xdr:colOff>
      <xdr:row>16</xdr:row>
      <xdr:rowOff>214933</xdr:rowOff>
    </xdr:from>
    <xdr:to>
      <xdr:col>13</xdr:col>
      <xdr:colOff>896745</xdr:colOff>
      <xdr:row>21</xdr:row>
      <xdr:rowOff>56979</xdr:rowOff>
    </xdr:to>
    <xdr:pic>
      <xdr:nvPicPr>
        <xdr:cNvPr id="4" name="Picture 3">
          <a:extLst>
            <a:ext uri="{FF2B5EF4-FFF2-40B4-BE49-F238E27FC236}">
              <a16:creationId xmlns:a16="http://schemas.microsoft.com/office/drawing/2014/main" id="{4C5531C6-741C-278A-293D-8D93A39F4520}"/>
            </a:ext>
          </a:extLst>
        </xdr:cNvPr>
        <xdr:cNvPicPr>
          <a:picLocks noChangeAspect="1"/>
        </xdr:cNvPicPr>
      </xdr:nvPicPr>
      <xdr:blipFill>
        <a:blip xmlns:r="http://schemas.openxmlformats.org/officeDocument/2006/relationships" r:embed="rId3"/>
        <a:stretch>
          <a:fillRect/>
        </a:stretch>
      </xdr:blipFill>
      <xdr:spPr>
        <a:xfrm>
          <a:off x="13490925" y="4364520"/>
          <a:ext cx="1502819" cy="976763"/>
        </a:xfrm>
        <a:prstGeom prst="rect">
          <a:avLst/>
        </a:prstGeom>
      </xdr:spPr>
    </xdr:pic>
    <xdr:clientData/>
  </xdr:twoCellAnchor>
  <xdr:twoCellAnchor editAs="oneCell">
    <xdr:from>
      <xdr:col>8</xdr:col>
      <xdr:colOff>288192</xdr:colOff>
      <xdr:row>21</xdr:row>
      <xdr:rowOff>63645</xdr:rowOff>
    </xdr:from>
    <xdr:to>
      <xdr:col>9</xdr:col>
      <xdr:colOff>977348</xdr:colOff>
      <xdr:row>25</xdr:row>
      <xdr:rowOff>770283</xdr:rowOff>
    </xdr:to>
    <xdr:pic>
      <xdr:nvPicPr>
        <xdr:cNvPr id="5" name="Picture 4">
          <a:extLst>
            <a:ext uri="{FF2B5EF4-FFF2-40B4-BE49-F238E27FC236}">
              <a16:creationId xmlns:a16="http://schemas.microsoft.com/office/drawing/2014/main" id="{A1B84FBB-6994-D853-BDA9-F981C5B4B442}"/>
            </a:ext>
          </a:extLst>
        </xdr:cNvPr>
        <xdr:cNvPicPr>
          <a:picLocks noChangeAspect="1"/>
        </xdr:cNvPicPr>
      </xdr:nvPicPr>
      <xdr:blipFill>
        <a:blip xmlns:r="http://schemas.openxmlformats.org/officeDocument/2006/relationships" r:embed="rId4"/>
        <a:stretch>
          <a:fillRect/>
        </a:stretch>
      </xdr:blipFill>
      <xdr:spPr>
        <a:xfrm>
          <a:off x="8587366" y="5347949"/>
          <a:ext cx="1848721" cy="1717117"/>
        </a:xfrm>
        <a:prstGeom prst="rect">
          <a:avLst/>
        </a:prstGeom>
      </xdr:spPr>
    </xdr:pic>
    <xdr:clientData/>
  </xdr:twoCellAnchor>
  <xdr:twoCellAnchor editAs="oneCell">
    <xdr:from>
      <xdr:col>5</xdr:col>
      <xdr:colOff>107674</xdr:colOff>
      <xdr:row>28</xdr:row>
      <xdr:rowOff>224604</xdr:rowOff>
    </xdr:from>
    <xdr:to>
      <xdr:col>6</xdr:col>
      <xdr:colOff>588066</xdr:colOff>
      <xdr:row>31</xdr:row>
      <xdr:rowOff>32399</xdr:rowOff>
    </xdr:to>
    <xdr:pic>
      <xdr:nvPicPr>
        <xdr:cNvPr id="6" name="Picture 5">
          <a:extLst>
            <a:ext uri="{FF2B5EF4-FFF2-40B4-BE49-F238E27FC236}">
              <a16:creationId xmlns:a16="http://schemas.microsoft.com/office/drawing/2014/main" id="{BC4D2E99-918B-0E10-018A-8C1DCB6702A1}"/>
            </a:ext>
          </a:extLst>
        </xdr:cNvPr>
        <xdr:cNvPicPr>
          <a:picLocks noChangeAspect="1"/>
        </xdr:cNvPicPr>
      </xdr:nvPicPr>
      <xdr:blipFill>
        <a:blip xmlns:r="http://schemas.openxmlformats.org/officeDocument/2006/relationships" r:embed="rId5"/>
        <a:stretch>
          <a:fillRect/>
        </a:stretch>
      </xdr:blipFill>
      <xdr:spPr>
        <a:xfrm>
          <a:off x="5010978" y="7745213"/>
          <a:ext cx="1648240" cy="727164"/>
        </a:xfrm>
        <a:prstGeom prst="rect">
          <a:avLst/>
        </a:prstGeom>
      </xdr:spPr>
    </xdr:pic>
    <xdr:clientData/>
  </xdr:twoCellAnchor>
  <xdr:twoCellAnchor editAs="oneCell">
    <xdr:from>
      <xdr:col>9</xdr:col>
      <xdr:colOff>934739</xdr:colOff>
      <xdr:row>28</xdr:row>
      <xdr:rowOff>256759</xdr:rowOff>
    </xdr:from>
    <xdr:to>
      <xdr:col>11</xdr:col>
      <xdr:colOff>1436</xdr:colOff>
      <xdr:row>35</xdr:row>
      <xdr:rowOff>8281</xdr:rowOff>
    </xdr:to>
    <xdr:pic>
      <xdr:nvPicPr>
        <xdr:cNvPr id="8" name="Picture 7">
          <a:extLst>
            <a:ext uri="{FF2B5EF4-FFF2-40B4-BE49-F238E27FC236}">
              <a16:creationId xmlns:a16="http://schemas.microsoft.com/office/drawing/2014/main" id="{E6D5ACED-154C-9A50-288B-B16998089E55}"/>
            </a:ext>
          </a:extLst>
        </xdr:cNvPr>
        <xdr:cNvPicPr>
          <a:picLocks noChangeAspect="1"/>
        </xdr:cNvPicPr>
      </xdr:nvPicPr>
      <xdr:blipFill>
        <a:blip xmlns:r="http://schemas.openxmlformats.org/officeDocument/2006/relationships" r:embed="rId6"/>
        <a:stretch>
          <a:fillRect/>
        </a:stretch>
      </xdr:blipFill>
      <xdr:spPr>
        <a:xfrm>
          <a:off x="10393478" y="7777368"/>
          <a:ext cx="1460371" cy="1532283"/>
        </a:xfrm>
        <a:prstGeom prst="rect">
          <a:avLst/>
        </a:prstGeom>
      </xdr:spPr>
    </xdr:pic>
    <xdr:clientData/>
  </xdr:twoCellAnchor>
  <xdr:twoCellAnchor editAs="oneCell">
    <xdr:from>
      <xdr:col>11</xdr:col>
      <xdr:colOff>455543</xdr:colOff>
      <xdr:row>28</xdr:row>
      <xdr:rowOff>312558</xdr:rowOff>
    </xdr:from>
    <xdr:to>
      <xdr:col>13</xdr:col>
      <xdr:colOff>87100</xdr:colOff>
      <xdr:row>35</xdr:row>
      <xdr:rowOff>546652</xdr:rowOff>
    </xdr:to>
    <xdr:pic>
      <xdr:nvPicPr>
        <xdr:cNvPr id="9" name="Picture 8">
          <a:extLst>
            <a:ext uri="{FF2B5EF4-FFF2-40B4-BE49-F238E27FC236}">
              <a16:creationId xmlns:a16="http://schemas.microsoft.com/office/drawing/2014/main" id="{D423B1B6-E1A9-79AC-FD00-5BA282DBBC27}"/>
            </a:ext>
          </a:extLst>
        </xdr:cNvPr>
        <xdr:cNvPicPr>
          <a:picLocks noChangeAspect="1"/>
        </xdr:cNvPicPr>
      </xdr:nvPicPr>
      <xdr:blipFill>
        <a:blip xmlns:r="http://schemas.openxmlformats.org/officeDocument/2006/relationships" r:embed="rId7"/>
        <a:stretch>
          <a:fillRect/>
        </a:stretch>
      </xdr:blipFill>
      <xdr:spPr>
        <a:xfrm>
          <a:off x="12307956" y="7833167"/>
          <a:ext cx="1950687" cy="20148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8</xdr:col>
      <xdr:colOff>0</xdr:colOff>
      <xdr:row>20</xdr:row>
      <xdr:rowOff>9525</xdr:rowOff>
    </xdr:from>
    <xdr:to>
      <xdr:col>15</xdr:col>
      <xdr:colOff>200025</xdr:colOff>
      <xdr:row>39</xdr:row>
      <xdr:rowOff>100012</xdr:rowOff>
    </xdr:to>
    <xdr:graphicFrame macro="">
      <xdr:nvGraphicFramePr>
        <xdr:cNvPr id="2" name="Chart 1">
          <a:extLst>
            <a:ext uri="{FF2B5EF4-FFF2-40B4-BE49-F238E27FC236}">
              <a16:creationId xmlns:a16="http://schemas.microsoft.com/office/drawing/2014/main" id="{EE484DEB-4CD4-6E78-453D-ADE4322F7E2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311195</xdr:colOff>
      <xdr:row>19</xdr:row>
      <xdr:rowOff>571500</xdr:rowOff>
    </xdr:from>
    <xdr:to>
      <xdr:col>8</xdr:col>
      <xdr:colOff>475820</xdr:colOff>
      <xdr:row>33</xdr:row>
      <xdr:rowOff>37683</xdr:rowOff>
    </xdr:to>
    <xdr:pic>
      <xdr:nvPicPr>
        <xdr:cNvPr id="2" name="Picture 1">
          <a:extLst>
            <a:ext uri="{FF2B5EF4-FFF2-40B4-BE49-F238E27FC236}">
              <a16:creationId xmlns:a16="http://schemas.microsoft.com/office/drawing/2014/main" id="{AC367C66-571B-4F21-988B-24DC2243CD85}"/>
            </a:ext>
          </a:extLst>
        </xdr:cNvPr>
        <xdr:cNvPicPr>
          <a:picLocks noChangeAspect="1"/>
        </xdr:cNvPicPr>
      </xdr:nvPicPr>
      <xdr:blipFill>
        <a:blip xmlns:r="http://schemas.openxmlformats.org/officeDocument/2006/relationships" r:embed="rId1"/>
        <a:stretch>
          <a:fillRect/>
        </a:stretch>
      </xdr:blipFill>
      <xdr:spPr>
        <a:xfrm>
          <a:off x="5378495" y="4371975"/>
          <a:ext cx="2603025" cy="2523708"/>
        </a:xfrm>
        <a:prstGeom prst="rect">
          <a:avLst/>
        </a:prstGeom>
      </xdr:spPr>
    </xdr:pic>
    <xdr:clientData/>
  </xdr:twoCellAnchor>
  <xdr:twoCellAnchor editAs="oneCell">
    <xdr:from>
      <xdr:col>8</xdr:col>
      <xdr:colOff>457200</xdr:colOff>
      <xdr:row>20</xdr:row>
      <xdr:rowOff>95475</xdr:rowOff>
    </xdr:from>
    <xdr:to>
      <xdr:col>17</xdr:col>
      <xdr:colOff>332264</xdr:colOff>
      <xdr:row>30</xdr:row>
      <xdr:rowOff>161517</xdr:rowOff>
    </xdr:to>
    <xdr:pic>
      <xdr:nvPicPr>
        <xdr:cNvPr id="3" name="Picture 2">
          <a:extLst>
            <a:ext uri="{FF2B5EF4-FFF2-40B4-BE49-F238E27FC236}">
              <a16:creationId xmlns:a16="http://schemas.microsoft.com/office/drawing/2014/main" id="{F4406D03-34AD-4192-B8D3-4461FA0C16D7}"/>
            </a:ext>
          </a:extLst>
        </xdr:cNvPr>
        <xdr:cNvPicPr>
          <a:picLocks noChangeAspect="1"/>
        </xdr:cNvPicPr>
      </xdr:nvPicPr>
      <xdr:blipFill>
        <a:blip xmlns:r="http://schemas.openxmlformats.org/officeDocument/2006/relationships" r:embed="rId2"/>
        <a:stretch>
          <a:fillRect/>
        </a:stretch>
      </xdr:blipFill>
      <xdr:spPr>
        <a:xfrm>
          <a:off x="7962900" y="4476975"/>
          <a:ext cx="5361464" cy="1971042"/>
        </a:xfrm>
        <a:prstGeom prst="rect">
          <a:avLst/>
        </a:prstGeom>
      </xdr:spPr>
    </xdr:pic>
    <xdr:clientData/>
  </xdr:twoCellAnchor>
  <xdr:twoCellAnchor editAs="oneCell">
    <xdr:from>
      <xdr:col>3</xdr:col>
      <xdr:colOff>134036</xdr:colOff>
      <xdr:row>9</xdr:row>
      <xdr:rowOff>29308</xdr:rowOff>
    </xdr:from>
    <xdr:to>
      <xdr:col>8</xdr:col>
      <xdr:colOff>51287</xdr:colOff>
      <xdr:row>16</xdr:row>
      <xdr:rowOff>21981</xdr:rowOff>
    </xdr:to>
    <xdr:pic>
      <xdr:nvPicPr>
        <xdr:cNvPr id="4" name="Picture 3">
          <a:extLst>
            <a:ext uri="{FF2B5EF4-FFF2-40B4-BE49-F238E27FC236}">
              <a16:creationId xmlns:a16="http://schemas.microsoft.com/office/drawing/2014/main" id="{2FCA6977-5C78-3D81-42AB-CA1A1FDC212C}"/>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64651" y="1926981"/>
          <a:ext cx="3280309" cy="13261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mita Rai" refreshedDate="45319.857356365741" createdVersion="8" refreshedVersion="8" minRefreshableVersion="3" recordCount="43" xr:uid="{759AC13F-F599-4D7C-8E63-B40550A91166}">
  <cacheSource type="worksheet">
    <worksheetSource ref="A2:G45" sheet="Pivot Table and Chart"/>
  </cacheSource>
  <cacheFields count="7">
    <cacheField name="OrderDate" numFmtId="14">
      <sharedItems containsSemiMixedTypes="0" containsNonDate="0" containsDate="1" containsString="0" minDate="2021-01-06T00:00:00" maxDate="2022-12-22T00:00:00"/>
    </cacheField>
    <cacheField name="Region" numFmtId="0">
      <sharedItems count="3">
        <s v="Central"/>
        <s v="East"/>
        <s v="West"/>
      </sharedItems>
    </cacheField>
    <cacheField name="Rep" numFmtId="0">
      <sharedItems count="11">
        <s v="Kivell"/>
        <s v="Jardine"/>
        <s v="Gill"/>
        <s v="Andrews"/>
        <s v="Morgan"/>
        <s v="Smith"/>
        <s v="Jones"/>
        <s v="Howard"/>
        <s v="Parent"/>
        <s v="Sorvino"/>
        <s v="Thompson"/>
      </sharedItems>
    </cacheField>
    <cacheField name="Item" numFmtId="0">
      <sharedItems/>
    </cacheField>
    <cacheField name="Units" numFmtId="0">
      <sharedItems containsSemiMixedTypes="0" containsString="0" containsNumber="1" containsInteger="1" minValue="3" maxValue="96"/>
    </cacheField>
    <cacheField name="Unit Cost" numFmtId="0">
      <sharedItems containsSemiMixedTypes="0" containsString="0" containsNumber="1" minValue="1.29" maxValue="275"/>
    </cacheField>
    <cacheField name="Total" numFmtId="0">
      <sharedItems containsSemiMixedTypes="0" containsString="0" containsNumber="1" minValue="9.0300000000000011" maxValue="1879.0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d v="2021-01-23T00:00:00"/>
    <x v="0"/>
    <x v="0"/>
    <s v="Binder"/>
    <n v="50"/>
    <n v="19.989999999999998"/>
    <n v="999.49999999999989"/>
  </r>
  <r>
    <d v="2021-02-09T00:00:00"/>
    <x v="0"/>
    <x v="1"/>
    <s v="Pencil"/>
    <n v="40"/>
    <n v="4.99"/>
    <n v="199.60000000000002"/>
  </r>
  <r>
    <d v="2021-02-26T00:00:00"/>
    <x v="0"/>
    <x v="2"/>
    <s v="Pen"/>
    <n v="27"/>
    <n v="19.989999999999998"/>
    <n v="539.7299999999999"/>
  </r>
  <r>
    <d v="2021-04-18T00:00:00"/>
    <x v="0"/>
    <x v="3"/>
    <s v="Pencil"/>
    <n v="75"/>
    <n v="1.99"/>
    <n v="149.25"/>
  </r>
  <r>
    <d v="2021-05-05T00:00:00"/>
    <x v="0"/>
    <x v="1"/>
    <s v="Pencil"/>
    <n v="90"/>
    <n v="4.99"/>
    <n v="449.1"/>
  </r>
  <r>
    <d v="2021-06-25T00:00:00"/>
    <x v="0"/>
    <x v="4"/>
    <s v="Pencil"/>
    <n v="90"/>
    <n v="4.99"/>
    <n v="449.1"/>
  </r>
  <r>
    <d v="2021-09-01T00:00:00"/>
    <x v="0"/>
    <x v="5"/>
    <s v="Desk"/>
    <n v="4"/>
    <n v="200"/>
    <n v="800"/>
  </r>
  <r>
    <d v="2021-10-05T00:00:00"/>
    <x v="0"/>
    <x v="4"/>
    <s v="Binder"/>
    <n v="28"/>
    <n v="8.99"/>
    <n v="251.72"/>
  </r>
  <r>
    <d v="2021-11-25T00:00:00"/>
    <x v="0"/>
    <x v="0"/>
    <s v="Pen Set"/>
    <n v="96"/>
    <n v="4.99"/>
    <n v="479.04"/>
  </r>
  <r>
    <d v="2021-12-12T00:00:00"/>
    <x v="0"/>
    <x v="5"/>
    <s v="Pencil"/>
    <n v="67"/>
    <n v="1.29"/>
    <n v="86.43"/>
  </r>
  <r>
    <d v="2022-01-15T00:00:00"/>
    <x v="0"/>
    <x v="2"/>
    <s v="Binder"/>
    <n v="46"/>
    <n v="8.99"/>
    <n v="413.54"/>
  </r>
  <r>
    <d v="2022-02-01T00:00:00"/>
    <x v="0"/>
    <x v="5"/>
    <s v="Binder"/>
    <n v="87"/>
    <n v="15"/>
    <n v="1305"/>
  </r>
  <r>
    <d v="2022-03-24T00:00:00"/>
    <x v="0"/>
    <x v="1"/>
    <s v="Pen Set"/>
    <n v="50"/>
    <n v="4.99"/>
    <n v="249.5"/>
  </r>
  <r>
    <d v="2022-04-10T00:00:00"/>
    <x v="0"/>
    <x v="3"/>
    <s v="Pencil"/>
    <n v="66"/>
    <n v="1.99"/>
    <n v="131.34"/>
  </r>
  <r>
    <d v="2022-05-14T00:00:00"/>
    <x v="0"/>
    <x v="2"/>
    <s v="Pencil"/>
    <n v="53"/>
    <n v="1.29"/>
    <n v="68.37"/>
  </r>
  <r>
    <d v="2022-05-31T00:00:00"/>
    <x v="0"/>
    <x v="2"/>
    <s v="Binder"/>
    <n v="80"/>
    <n v="8.99"/>
    <n v="719.2"/>
  </r>
  <r>
    <d v="2022-06-17T00:00:00"/>
    <x v="0"/>
    <x v="0"/>
    <s v="Desk"/>
    <n v="5"/>
    <n v="125"/>
    <n v="625"/>
  </r>
  <r>
    <d v="2022-07-21T00:00:00"/>
    <x v="0"/>
    <x v="4"/>
    <s v="Pen Set"/>
    <n v="55"/>
    <n v="12.49"/>
    <n v="686.95"/>
  </r>
  <r>
    <d v="2022-08-07T00:00:00"/>
    <x v="0"/>
    <x v="0"/>
    <s v="Pen Set"/>
    <n v="42"/>
    <n v="23.95"/>
    <n v="1005.9"/>
  </r>
  <r>
    <d v="2022-09-10T00:00:00"/>
    <x v="0"/>
    <x v="2"/>
    <s v="Pencil"/>
    <n v="7"/>
    <n v="1.29"/>
    <n v="9.0300000000000011"/>
  </r>
  <r>
    <d v="2022-10-31T00:00:00"/>
    <x v="0"/>
    <x v="3"/>
    <s v="Pencil"/>
    <n v="14"/>
    <n v="1.29"/>
    <n v="18.060000000000002"/>
  </r>
  <r>
    <d v="2022-11-17T00:00:00"/>
    <x v="0"/>
    <x v="1"/>
    <s v="Binder"/>
    <n v="11"/>
    <n v="4.99"/>
    <n v="54.89"/>
  </r>
  <r>
    <d v="2022-12-04T00:00:00"/>
    <x v="0"/>
    <x v="1"/>
    <s v="Binder"/>
    <n v="94"/>
    <n v="19.989999999999998"/>
    <n v="1879.06"/>
  </r>
  <r>
    <d v="2022-12-21T00:00:00"/>
    <x v="0"/>
    <x v="3"/>
    <s v="Binder"/>
    <n v="28"/>
    <n v="4.99"/>
    <n v="139.72"/>
  </r>
  <r>
    <d v="2021-01-06T00:00:00"/>
    <x v="1"/>
    <x v="6"/>
    <s v="Pencil"/>
    <n v="95"/>
    <n v="1.99"/>
    <n v="189.05"/>
  </r>
  <r>
    <d v="2021-04-01T00:00:00"/>
    <x v="1"/>
    <x v="6"/>
    <s v="Binder"/>
    <n v="60"/>
    <n v="4.99"/>
    <n v="299.40000000000003"/>
  </r>
  <r>
    <d v="2021-06-08T00:00:00"/>
    <x v="1"/>
    <x v="6"/>
    <s v="Binder"/>
    <n v="60"/>
    <n v="8.99"/>
    <n v="539.4"/>
  </r>
  <r>
    <d v="2021-07-12T00:00:00"/>
    <x v="1"/>
    <x v="7"/>
    <s v="Binder"/>
    <n v="29"/>
    <n v="1.99"/>
    <n v="57.71"/>
  </r>
  <r>
    <d v="2021-07-29T00:00:00"/>
    <x v="1"/>
    <x v="8"/>
    <s v="Binder"/>
    <n v="81"/>
    <n v="19.989999999999998"/>
    <n v="1619.1899999999998"/>
  </r>
  <r>
    <d v="2021-08-15T00:00:00"/>
    <x v="1"/>
    <x v="6"/>
    <s v="Pencil"/>
    <n v="35"/>
    <n v="4.99"/>
    <n v="174.65"/>
  </r>
  <r>
    <d v="2021-09-18T00:00:00"/>
    <x v="1"/>
    <x v="6"/>
    <s v="Pen Set"/>
    <n v="16"/>
    <n v="15.99"/>
    <n v="255.84"/>
  </r>
  <r>
    <d v="2021-10-22T00:00:00"/>
    <x v="1"/>
    <x v="6"/>
    <s v="Pen"/>
    <n v="64"/>
    <n v="8.99"/>
    <n v="575.36"/>
  </r>
  <r>
    <d v="2021-11-08T00:00:00"/>
    <x v="1"/>
    <x v="8"/>
    <s v="Pen"/>
    <n v="15"/>
    <n v="19.989999999999998"/>
    <n v="299.84999999999997"/>
  </r>
  <r>
    <d v="2021-12-29T00:00:00"/>
    <x v="1"/>
    <x v="8"/>
    <s v="Pen Set"/>
    <n v="74"/>
    <n v="15.99"/>
    <n v="1183.26"/>
  </r>
  <r>
    <d v="2022-02-18T00:00:00"/>
    <x v="1"/>
    <x v="6"/>
    <s v="Binder"/>
    <n v="5"/>
    <n v="6"/>
    <n v="30"/>
  </r>
  <r>
    <d v="2022-04-27T00:00:00"/>
    <x v="1"/>
    <x v="7"/>
    <s v="Pen"/>
    <n v="96"/>
    <n v="4.99"/>
    <n v="479.04"/>
  </r>
  <r>
    <d v="2022-07-04T00:00:00"/>
    <x v="1"/>
    <x v="6"/>
    <s v="Pen Set"/>
    <n v="62"/>
    <n v="4.99"/>
    <n v="309.38"/>
  </r>
  <r>
    <d v="2021-03-15T00:00:00"/>
    <x v="2"/>
    <x v="9"/>
    <s v="Pencil"/>
    <n v="56"/>
    <n v="2.99"/>
    <n v="167.44"/>
  </r>
  <r>
    <d v="2021-05-22T00:00:00"/>
    <x v="2"/>
    <x v="10"/>
    <s v="Pencil"/>
    <n v="32"/>
    <n v="1.99"/>
    <n v="63.68"/>
  </r>
  <r>
    <d v="2022-03-07T00:00:00"/>
    <x v="2"/>
    <x v="9"/>
    <s v="Binder"/>
    <n v="7"/>
    <n v="19.989999999999998"/>
    <n v="139.92999999999998"/>
  </r>
  <r>
    <d v="2022-08-24T00:00:00"/>
    <x v="2"/>
    <x v="9"/>
    <s v="Desk"/>
    <n v="3"/>
    <n v="275"/>
    <n v="825"/>
  </r>
  <r>
    <d v="2022-09-27T00:00:00"/>
    <x v="2"/>
    <x v="9"/>
    <s v="Pen"/>
    <n v="76"/>
    <n v="1.99"/>
    <n v="151.24"/>
  </r>
  <r>
    <d v="2022-10-14T00:00:00"/>
    <x v="2"/>
    <x v="10"/>
    <s v="Binder"/>
    <n v="57"/>
    <n v="19.989999999999998"/>
    <n v="1139.42999999999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45CF358-A0F0-45FF-A3BA-50129F1F5789}"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I2:J17" firstHeaderRow="1" firstDataRow="1" firstDataCol="1"/>
  <pivotFields count="7">
    <pivotField numFmtId="14" showAll="0"/>
    <pivotField axis="axisRow" showAll="0">
      <items count="4">
        <item x="0"/>
        <item x="1"/>
        <item x="2"/>
        <item t="default"/>
      </items>
    </pivotField>
    <pivotField axis="axisRow" showAll="0">
      <items count="12">
        <item x="3"/>
        <item x="2"/>
        <item x="7"/>
        <item x="1"/>
        <item x="6"/>
        <item x="0"/>
        <item x="4"/>
        <item x="8"/>
        <item x="5"/>
        <item x="9"/>
        <item x="10"/>
        <item t="default"/>
      </items>
    </pivotField>
    <pivotField showAll="0"/>
    <pivotField showAll="0"/>
    <pivotField showAll="0"/>
    <pivotField dataField="1" showAll="0"/>
  </pivotFields>
  <rowFields count="2">
    <field x="1"/>
    <field x="2"/>
  </rowFields>
  <rowItems count="15">
    <i>
      <x/>
    </i>
    <i r="1">
      <x/>
    </i>
    <i r="1">
      <x v="1"/>
    </i>
    <i r="1">
      <x v="3"/>
    </i>
    <i r="1">
      <x v="5"/>
    </i>
    <i r="1">
      <x v="6"/>
    </i>
    <i r="1">
      <x v="8"/>
    </i>
    <i>
      <x v="1"/>
    </i>
    <i r="1">
      <x v="2"/>
    </i>
    <i r="1">
      <x v="4"/>
    </i>
    <i r="1">
      <x v="7"/>
    </i>
    <i>
      <x v="2"/>
    </i>
    <i r="1">
      <x v="9"/>
    </i>
    <i r="1">
      <x v="10"/>
    </i>
    <i t="grand">
      <x/>
    </i>
  </rowItems>
  <colItems count="1">
    <i/>
  </colItems>
  <dataFields count="1">
    <dataField name="Sum of Total" fld="6"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C8"/>
  <sheetViews>
    <sheetView workbookViewId="0">
      <selection activeCell="C26" sqref="C26"/>
    </sheetView>
  </sheetViews>
  <sheetFormatPr defaultRowHeight="15" x14ac:dyDescent="0.25"/>
  <cols>
    <col min="2" max="2" width="26.5703125" bestFit="1" customWidth="1"/>
    <col min="3" max="3" width="39.28515625" bestFit="1" customWidth="1"/>
  </cols>
  <sheetData>
    <row r="2" spans="2:3" x14ac:dyDescent="0.25">
      <c r="B2" s="38" t="s">
        <v>0</v>
      </c>
      <c r="C2" s="38"/>
    </row>
    <row r="3" spans="2:3" x14ac:dyDescent="0.25">
      <c r="B3" s="1" t="s">
        <v>1</v>
      </c>
      <c r="C3" s="1" t="s">
        <v>2</v>
      </c>
    </row>
    <row r="4" spans="2:3" x14ac:dyDescent="0.25">
      <c r="B4" s="1" t="s">
        <v>3</v>
      </c>
      <c r="C4" s="1" t="s">
        <v>4</v>
      </c>
    </row>
    <row r="5" spans="2:3" x14ac:dyDescent="0.25">
      <c r="B5" s="1" t="s">
        <v>5</v>
      </c>
      <c r="C5" s="1" t="s">
        <v>6</v>
      </c>
    </row>
    <row r="6" spans="2:3" x14ac:dyDescent="0.25">
      <c r="B6" s="1" t="s">
        <v>7</v>
      </c>
      <c r="C6" s="1" t="s">
        <v>8</v>
      </c>
    </row>
    <row r="8" spans="2:3" x14ac:dyDescent="0.25">
      <c r="B8" t="s">
        <v>9</v>
      </c>
      <c r="C8" t="s">
        <v>10</v>
      </c>
    </row>
  </sheetData>
  <dataConsolidate/>
  <mergeCells count="1">
    <mergeCell ref="B2:C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0C89D-0EFC-42D7-8276-00B32D194840}">
  <dimension ref="A1:N69"/>
  <sheetViews>
    <sheetView tabSelected="1" zoomScale="115" zoomScaleNormal="115" workbookViewId="0">
      <selection sqref="A1:C1"/>
    </sheetView>
  </sheetViews>
  <sheetFormatPr defaultRowHeight="17.25" customHeight="1" x14ac:dyDescent="0.25"/>
  <cols>
    <col min="1" max="1" width="3.140625" style="11" customWidth="1"/>
    <col min="2" max="2" width="18.28515625" customWidth="1"/>
    <col min="3" max="3" width="18.140625" customWidth="1"/>
    <col min="4" max="4" width="16.85546875" customWidth="1"/>
    <col min="5" max="5" width="17.140625" customWidth="1"/>
    <col min="6" max="6" width="17.5703125" customWidth="1"/>
    <col min="7" max="7" width="16.42578125" customWidth="1"/>
    <col min="8" max="8" width="17" customWidth="1"/>
    <col min="9" max="9" width="17.42578125" customWidth="1"/>
    <col min="10" max="10" width="18.140625" customWidth="1"/>
    <col min="11" max="11" width="17.7109375" customWidth="1"/>
    <col min="12" max="12" width="17.85546875" customWidth="1"/>
    <col min="13" max="13" width="16.85546875" customWidth="1"/>
    <col min="14" max="14" width="17.28515625" customWidth="1"/>
  </cols>
  <sheetData>
    <row r="1" spans="1:14" ht="24" customHeight="1" thickBot="1" x14ac:dyDescent="0.4">
      <c r="A1" s="68" t="s">
        <v>85</v>
      </c>
      <c r="B1" s="69"/>
      <c r="C1" s="70"/>
    </row>
    <row r="2" spans="1:14" ht="17.25" customHeight="1" x14ac:dyDescent="0.25">
      <c r="A2" s="35">
        <v>1</v>
      </c>
      <c r="B2" s="62" t="s">
        <v>72</v>
      </c>
      <c r="C2" s="63"/>
      <c r="D2" s="63"/>
      <c r="E2" s="63"/>
      <c r="F2" s="63"/>
      <c r="G2" s="63"/>
      <c r="H2" s="63"/>
      <c r="I2" s="63"/>
      <c r="J2" s="63"/>
      <c r="K2" s="63"/>
      <c r="L2" s="63"/>
      <c r="M2" s="63"/>
      <c r="N2" s="64"/>
    </row>
    <row r="3" spans="1:14" ht="15" x14ac:dyDescent="0.25">
      <c r="A3" s="36">
        <v>2</v>
      </c>
      <c r="B3" s="42" t="s">
        <v>69</v>
      </c>
      <c r="C3" s="43"/>
      <c r="D3" s="43"/>
      <c r="E3" s="43"/>
      <c r="F3" s="43"/>
      <c r="G3" s="43"/>
      <c r="H3" s="43"/>
      <c r="I3" s="43"/>
      <c r="J3" s="43"/>
      <c r="K3" s="43"/>
      <c r="L3" s="43"/>
      <c r="M3" s="43"/>
      <c r="N3" s="44"/>
    </row>
    <row r="4" spans="1:14" ht="15" x14ac:dyDescent="0.25">
      <c r="A4" s="36">
        <v>3</v>
      </c>
      <c r="B4" s="42" t="s">
        <v>70</v>
      </c>
      <c r="C4" s="43"/>
      <c r="D4" s="43"/>
      <c r="E4" s="43"/>
      <c r="F4" s="43"/>
      <c r="G4" s="43"/>
      <c r="H4" s="43"/>
      <c r="I4" s="43"/>
      <c r="J4" s="43"/>
      <c r="K4" s="43"/>
      <c r="L4" s="43"/>
      <c r="M4" s="43"/>
      <c r="N4" s="44"/>
    </row>
    <row r="5" spans="1:14" ht="21" customHeight="1" x14ac:dyDescent="0.25">
      <c r="A5" s="36">
        <v>4</v>
      </c>
      <c r="B5" s="58" t="s">
        <v>68</v>
      </c>
      <c r="C5" s="59"/>
      <c r="D5" s="59"/>
      <c r="E5" s="59"/>
      <c r="F5" s="59"/>
      <c r="G5" s="59"/>
      <c r="H5" s="59"/>
      <c r="I5" s="59"/>
      <c r="J5" s="59"/>
      <c r="K5" s="59"/>
      <c r="L5" s="59"/>
      <c r="M5" s="59"/>
      <c r="N5" s="60"/>
    </row>
    <row r="6" spans="1:14" ht="21" customHeight="1" x14ac:dyDescent="0.25">
      <c r="A6" s="36"/>
      <c r="B6" s="42"/>
      <c r="C6" s="43"/>
      <c r="D6" s="43"/>
      <c r="E6" s="43"/>
      <c r="F6" s="43"/>
      <c r="G6" s="43"/>
      <c r="H6" s="43"/>
      <c r="I6" s="43"/>
      <c r="J6" s="43"/>
      <c r="K6" s="43"/>
      <c r="L6" s="43"/>
      <c r="M6" s="43"/>
      <c r="N6" s="44"/>
    </row>
    <row r="7" spans="1:14" ht="20.25" customHeight="1" thickBot="1" x14ac:dyDescent="0.3">
      <c r="A7" s="36">
        <v>5</v>
      </c>
      <c r="B7" s="54" t="s">
        <v>71</v>
      </c>
      <c r="C7" s="65"/>
      <c r="D7" s="66"/>
      <c r="E7" s="65"/>
      <c r="F7" s="65"/>
      <c r="G7" s="65"/>
      <c r="H7" s="65"/>
      <c r="I7" s="65"/>
      <c r="J7" s="65"/>
      <c r="K7" s="65"/>
      <c r="L7" s="65"/>
      <c r="M7" s="65"/>
      <c r="N7" s="67"/>
    </row>
    <row r="8" spans="1:14" ht="17.25" customHeight="1" thickBot="1" x14ac:dyDescent="0.3">
      <c r="A8" s="36">
        <v>6</v>
      </c>
      <c r="B8" s="29" t="s">
        <v>92</v>
      </c>
      <c r="C8" s="31" t="s">
        <v>73</v>
      </c>
      <c r="D8" s="34">
        <f>1+1</f>
        <v>2</v>
      </c>
      <c r="E8" s="48" t="s">
        <v>74</v>
      </c>
      <c r="F8" s="49"/>
      <c r="G8" s="48"/>
      <c r="H8" s="48"/>
      <c r="I8" s="48"/>
      <c r="J8" s="48"/>
      <c r="K8" s="48"/>
      <c r="L8" s="48"/>
      <c r="M8" s="48"/>
      <c r="N8" s="50"/>
    </row>
    <row r="9" spans="1:14" ht="17.25" customHeight="1" thickBot="1" x14ac:dyDescent="0.3">
      <c r="A9" s="36">
        <v>7</v>
      </c>
      <c r="B9" s="27" t="s">
        <v>93</v>
      </c>
      <c r="C9" s="28" t="s">
        <v>75</v>
      </c>
      <c r="D9" s="32">
        <v>100</v>
      </c>
      <c r="E9" s="30">
        <v>25</v>
      </c>
      <c r="F9" s="34">
        <f>D9-E9</f>
        <v>75</v>
      </c>
      <c r="G9" s="48" t="s">
        <v>76</v>
      </c>
      <c r="H9" s="48"/>
      <c r="I9" s="48"/>
      <c r="J9" s="48"/>
      <c r="K9" s="48"/>
      <c r="L9" s="48"/>
      <c r="M9" s="48"/>
      <c r="N9" s="50"/>
    </row>
    <row r="10" spans="1:14" ht="17.25" customHeight="1" x14ac:dyDescent="0.25">
      <c r="A10" s="36">
        <v>8</v>
      </c>
      <c r="B10" s="58" t="s">
        <v>77</v>
      </c>
      <c r="C10" s="59"/>
      <c r="D10" s="59"/>
      <c r="E10" s="59"/>
      <c r="F10" s="61"/>
      <c r="G10" s="59"/>
      <c r="H10" s="59"/>
      <c r="I10" s="59"/>
      <c r="J10" s="59"/>
      <c r="K10" s="59"/>
      <c r="L10" s="59"/>
      <c r="M10" s="59"/>
      <c r="N10" s="60"/>
    </row>
    <row r="11" spans="1:14" ht="27.75" customHeight="1" x14ac:dyDescent="0.25">
      <c r="A11" s="36"/>
      <c r="B11" s="51" t="s">
        <v>89</v>
      </c>
      <c r="C11" s="52"/>
      <c r="D11" s="52"/>
      <c r="E11" s="52"/>
      <c r="F11" s="52"/>
      <c r="G11" s="52"/>
      <c r="H11" s="52"/>
      <c r="I11" s="52"/>
      <c r="J11" s="52"/>
      <c r="K11" s="52"/>
      <c r="L11" s="52"/>
      <c r="M11" s="52"/>
      <c r="N11" s="53"/>
    </row>
    <row r="12" spans="1:14" ht="17.25" customHeight="1" x14ac:dyDescent="0.25">
      <c r="A12" s="36"/>
      <c r="B12" s="42"/>
      <c r="C12" s="43"/>
      <c r="D12" s="43"/>
      <c r="E12" s="43"/>
      <c r="F12" s="43"/>
      <c r="G12" s="43"/>
      <c r="H12" s="43"/>
      <c r="I12" s="43"/>
      <c r="J12" s="43"/>
      <c r="K12" s="43"/>
      <c r="L12" s="43"/>
      <c r="M12" s="43"/>
      <c r="N12" s="44"/>
    </row>
    <row r="13" spans="1:14" ht="17.25" customHeight="1" x14ac:dyDescent="0.25">
      <c r="A13" s="36">
        <v>9</v>
      </c>
      <c r="B13" s="42" t="s">
        <v>78</v>
      </c>
      <c r="C13" s="43"/>
      <c r="D13" s="43"/>
      <c r="E13" s="43"/>
      <c r="F13" s="43"/>
      <c r="G13" s="43"/>
      <c r="H13" s="43"/>
      <c r="I13" s="43"/>
      <c r="J13" s="43"/>
      <c r="K13" s="43"/>
      <c r="L13" s="43"/>
      <c r="M13" s="43"/>
      <c r="N13" s="44"/>
    </row>
    <row r="14" spans="1:14" ht="17.25" customHeight="1" x14ac:dyDescent="0.25">
      <c r="A14" s="36">
        <v>10</v>
      </c>
      <c r="B14" s="42" t="s">
        <v>79</v>
      </c>
      <c r="C14" s="43"/>
      <c r="D14" s="43"/>
      <c r="E14" s="43"/>
      <c r="F14" s="43"/>
      <c r="G14" s="43"/>
      <c r="H14" s="43"/>
      <c r="I14" s="43"/>
      <c r="J14" s="43"/>
      <c r="K14" s="43"/>
      <c r="L14" s="43"/>
      <c r="M14" s="43"/>
      <c r="N14" s="44"/>
    </row>
    <row r="15" spans="1:14" ht="17.25" customHeight="1" x14ac:dyDescent="0.25">
      <c r="A15" s="36">
        <v>11</v>
      </c>
      <c r="B15" s="42" t="s">
        <v>80</v>
      </c>
      <c r="C15" s="43"/>
      <c r="D15" s="43"/>
      <c r="E15" s="43"/>
      <c r="F15" s="43"/>
      <c r="G15" s="43"/>
      <c r="H15" s="43"/>
      <c r="I15" s="43"/>
      <c r="J15" s="43"/>
      <c r="K15" s="43"/>
      <c r="L15" s="43"/>
      <c r="M15" s="43"/>
      <c r="N15" s="44"/>
    </row>
    <row r="16" spans="1:14" ht="47.25" customHeight="1" x14ac:dyDescent="0.25">
      <c r="A16" s="36">
        <v>12</v>
      </c>
      <c r="B16" s="42" t="s">
        <v>84</v>
      </c>
      <c r="C16" s="43"/>
      <c r="D16" s="43"/>
      <c r="E16" s="43"/>
      <c r="F16" s="43"/>
      <c r="G16" s="43"/>
      <c r="H16" s="43"/>
      <c r="I16" s="43"/>
      <c r="J16" s="43"/>
      <c r="K16" s="43"/>
      <c r="L16" s="43"/>
      <c r="M16" s="43"/>
      <c r="N16" s="44"/>
    </row>
    <row r="17" spans="1:14" ht="18" customHeight="1" x14ac:dyDescent="0.25">
      <c r="A17" s="36"/>
      <c r="B17" s="39"/>
      <c r="C17" s="40"/>
      <c r="D17" s="40"/>
      <c r="E17" s="40"/>
      <c r="F17" s="40"/>
      <c r="G17" s="40"/>
      <c r="H17" s="40"/>
      <c r="I17" s="40"/>
      <c r="J17" s="40"/>
      <c r="K17" s="40"/>
      <c r="L17" s="40"/>
      <c r="M17" s="40"/>
      <c r="N17" s="41"/>
    </row>
    <row r="18" spans="1:14" ht="17.25" customHeight="1" x14ac:dyDescent="0.25">
      <c r="A18" s="36">
        <v>13</v>
      </c>
      <c r="B18" s="55" t="s">
        <v>82</v>
      </c>
      <c r="C18" s="56"/>
      <c r="D18" s="56"/>
      <c r="E18" s="56"/>
      <c r="F18" s="56"/>
      <c r="G18" s="56"/>
      <c r="H18" s="56"/>
      <c r="I18" s="56"/>
      <c r="J18" s="56"/>
      <c r="K18" s="56"/>
      <c r="L18" s="56"/>
      <c r="M18" s="56"/>
      <c r="N18" s="57"/>
    </row>
    <row r="19" spans="1:14" ht="20.25" customHeight="1" x14ac:dyDescent="0.25">
      <c r="A19" s="36">
        <v>14</v>
      </c>
      <c r="B19" s="58" t="s">
        <v>81</v>
      </c>
      <c r="C19" s="59"/>
      <c r="D19" s="59"/>
      <c r="E19" s="59"/>
      <c r="F19" s="59"/>
      <c r="G19" s="59"/>
      <c r="H19" s="59"/>
      <c r="I19" s="59"/>
      <c r="J19" s="59"/>
      <c r="K19" s="59"/>
      <c r="L19" s="59"/>
      <c r="M19" s="59"/>
      <c r="N19" s="60"/>
    </row>
    <row r="20" spans="1:14" ht="17.25" customHeight="1" x14ac:dyDescent="0.25">
      <c r="A20" s="36">
        <v>15</v>
      </c>
      <c r="B20" s="42" t="s">
        <v>83</v>
      </c>
      <c r="C20" s="43"/>
      <c r="D20" s="43"/>
      <c r="E20" s="43"/>
      <c r="F20" s="43"/>
      <c r="G20" s="43"/>
      <c r="H20" s="43"/>
      <c r="I20" s="43"/>
      <c r="J20" s="43"/>
      <c r="K20" s="43"/>
      <c r="L20" s="43"/>
      <c r="M20" s="43"/>
      <c r="N20" s="44"/>
    </row>
    <row r="21" spans="1:14" ht="17.25" customHeight="1" x14ac:dyDescent="0.25">
      <c r="A21" s="36">
        <v>16</v>
      </c>
      <c r="B21" s="42" t="s">
        <v>86</v>
      </c>
      <c r="C21" s="43"/>
      <c r="D21" s="43"/>
      <c r="E21" s="43"/>
      <c r="F21" s="43"/>
      <c r="G21" s="43"/>
      <c r="H21" s="43"/>
      <c r="I21" s="43"/>
      <c r="J21" s="43"/>
      <c r="K21" s="43"/>
      <c r="L21" s="43"/>
      <c r="M21" s="43"/>
      <c r="N21" s="44"/>
    </row>
    <row r="22" spans="1:14" ht="17.25" customHeight="1" x14ac:dyDescent="0.25">
      <c r="A22" s="36">
        <v>17</v>
      </c>
      <c r="B22" s="42" t="s">
        <v>87</v>
      </c>
      <c r="C22" s="43"/>
      <c r="D22" s="43"/>
      <c r="E22" s="43"/>
      <c r="F22" s="43"/>
      <c r="G22" s="43"/>
      <c r="H22" s="43"/>
      <c r="I22" s="43"/>
      <c r="J22" s="43"/>
      <c r="K22" s="43"/>
      <c r="L22" s="43"/>
      <c r="M22" s="43"/>
      <c r="N22" s="44"/>
    </row>
    <row r="23" spans="1:14" ht="17.25" customHeight="1" x14ac:dyDescent="0.25">
      <c r="A23" s="36"/>
      <c r="B23" s="39"/>
      <c r="C23" s="40"/>
      <c r="D23" s="40"/>
      <c r="E23" s="40"/>
      <c r="F23" s="40"/>
      <c r="G23" s="40"/>
      <c r="H23" s="40"/>
      <c r="I23" s="40"/>
      <c r="J23" s="40"/>
      <c r="K23" s="40"/>
      <c r="L23" s="40"/>
      <c r="M23" s="40"/>
      <c r="N23" s="41"/>
    </row>
    <row r="24" spans="1:14" ht="17.25" customHeight="1" x14ac:dyDescent="0.25">
      <c r="A24" s="36">
        <v>18</v>
      </c>
      <c r="B24" s="42" t="s">
        <v>90</v>
      </c>
      <c r="C24" s="43"/>
      <c r="D24" s="43"/>
      <c r="E24" s="43"/>
      <c r="F24" s="43"/>
      <c r="G24" s="43"/>
      <c r="H24" s="43"/>
      <c r="I24" s="43"/>
      <c r="J24" s="43"/>
      <c r="K24" s="43"/>
      <c r="L24" s="43"/>
      <c r="M24" s="43"/>
      <c r="N24" s="44"/>
    </row>
    <row r="25" spans="1:14" ht="28.5" customHeight="1" x14ac:dyDescent="0.25">
      <c r="A25" s="36">
        <v>19</v>
      </c>
      <c r="B25" s="42" t="s">
        <v>96</v>
      </c>
      <c r="C25" s="43"/>
      <c r="D25" s="43"/>
      <c r="E25" s="43"/>
      <c r="F25" s="43"/>
      <c r="G25" s="43"/>
      <c r="H25" s="43"/>
      <c r="I25" s="43"/>
      <c r="J25" s="43"/>
      <c r="K25" s="43"/>
      <c r="L25" s="43"/>
      <c r="M25" s="43"/>
      <c r="N25" s="44"/>
    </row>
    <row r="26" spans="1:14" ht="63.75" customHeight="1" x14ac:dyDescent="0.25">
      <c r="A26" s="36">
        <v>20</v>
      </c>
      <c r="B26" s="42" t="s">
        <v>91</v>
      </c>
      <c r="C26" s="43"/>
      <c r="D26" s="43"/>
      <c r="E26" s="43"/>
      <c r="F26" s="43"/>
      <c r="G26" s="43"/>
      <c r="H26" s="43"/>
      <c r="I26" s="43"/>
      <c r="J26" s="43"/>
      <c r="K26" s="43"/>
      <c r="L26" s="43"/>
      <c r="M26" s="43"/>
      <c r="N26" s="44"/>
    </row>
    <row r="27" spans="1:14" ht="15.75" customHeight="1" x14ac:dyDescent="0.25">
      <c r="A27" s="36"/>
      <c r="B27" s="39"/>
      <c r="C27" s="40"/>
      <c r="D27" s="40"/>
      <c r="E27" s="40"/>
      <c r="F27" s="40"/>
      <c r="G27" s="40"/>
      <c r="H27" s="40"/>
      <c r="I27" s="40"/>
      <c r="J27" s="40"/>
      <c r="K27" s="40"/>
      <c r="L27" s="40"/>
      <c r="M27" s="40"/>
      <c r="N27" s="41"/>
    </row>
    <row r="28" spans="1:14" ht="17.25" customHeight="1" x14ac:dyDescent="0.25">
      <c r="A28" s="37">
        <v>21</v>
      </c>
      <c r="B28" s="42" t="s">
        <v>95</v>
      </c>
      <c r="C28" s="43"/>
      <c r="D28" s="43"/>
      <c r="E28" s="43"/>
      <c r="F28" s="43"/>
      <c r="G28" s="43"/>
      <c r="H28" s="43"/>
      <c r="I28" s="43"/>
      <c r="J28" s="43"/>
      <c r="K28" s="43"/>
      <c r="L28" s="43"/>
      <c r="M28" s="43"/>
      <c r="N28" s="44"/>
    </row>
    <row r="29" spans="1:14" ht="27.75" customHeight="1" x14ac:dyDescent="0.25">
      <c r="A29" s="36">
        <v>22</v>
      </c>
      <c r="B29" s="42" t="s">
        <v>94</v>
      </c>
      <c r="C29" s="43"/>
      <c r="D29" s="43"/>
      <c r="E29" s="43"/>
      <c r="F29" s="43"/>
      <c r="G29" s="43"/>
      <c r="H29" s="43"/>
      <c r="I29" s="43"/>
      <c r="J29" s="43"/>
      <c r="K29" s="43"/>
      <c r="L29" s="43"/>
      <c r="M29" s="43"/>
      <c r="N29" s="44"/>
    </row>
    <row r="30" spans="1:14" ht="15.75" customHeight="1" x14ac:dyDescent="0.25">
      <c r="A30" s="36"/>
      <c r="B30" s="39"/>
      <c r="C30" s="40"/>
      <c r="D30" s="40"/>
      <c r="E30" s="40"/>
      <c r="F30" s="40"/>
      <c r="G30" s="40"/>
      <c r="H30" s="40"/>
      <c r="I30" s="40"/>
      <c r="J30" s="40"/>
      <c r="K30" s="40"/>
      <c r="L30" s="40"/>
      <c r="M30" s="40"/>
      <c r="N30" s="41"/>
    </row>
    <row r="31" spans="1:14" ht="28.5" customHeight="1" x14ac:dyDescent="0.25">
      <c r="A31" s="36">
        <v>23</v>
      </c>
      <c r="B31" s="42" t="s">
        <v>98</v>
      </c>
      <c r="C31" s="43"/>
      <c r="D31" s="43"/>
      <c r="E31" s="43"/>
      <c r="F31" s="43"/>
      <c r="G31" s="43"/>
      <c r="H31" s="43"/>
      <c r="I31" s="43"/>
      <c r="J31" s="43"/>
      <c r="K31" s="43"/>
      <c r="L31" s="43"/>
      <c r="M31" s="43"/>
      <c r="N31" s="44"/>
    </row>
    <row r="32" spans="1:14" ht="17.25" customHeight="1" x14ac:dyDescent="0.25">
      <c r="A32" s="36">
        <v>24</v>
      </c>
      <c r="B32" s="42" t="s">
        <v>99</v>
      </c>
      <c r="C32" s="43"/>
      <c r="D32" s="43"/>
      <c r="E32" s="43"/>
      <c r="F32" s="43"/>
      <c r="G32" s="43"/>
      <c r="H32" s="43"/>
      <c r="I32" s="43"/>
      <c r="J32" s="43"/>
      <c r="K32" s="43"/>
      <c r="L32" s="43"/>
      <c r="M32" s="43"/>
      <c r="N32" s="44"/>
    </row>
    <row r="33" spans="1:14" ht="17.25" customHeight="1" x14ac:dyDescent="0.25">
      <c r="A33" s="36"/>
      <c r="B33" s="39"/>
      <c r="C33" s="40"/>
      <c r="D33" s="40"/>
      <c r="E33" s="40"/>
      <c r="F33" s="40"/>
      <c r="G33" s="40"/>
      <c r="H33" s="40"/>
      <c r="I33" s="40"/>
      <c r="J33" s="40"/>
      <c r="K33" s="40"/>
      <c r="L33" s="40"/>
      <c r="M33" s="40"/>
      <c r="N33" s="41"/>
    </row>
    <row r="34" spans="1:14" ht="17.25" customHeight="1" x14ac:dyDescent="0.25">
      <c r="A34" s="36">
        <v>25</v>
      </c>
      <c r="B34" s="54" t="s">
        <v>100</v>
      </c>
      <c r="C34" s="43"/>
      <c r="D34" s="43"/>
      <c r="E34" s="43"/>
      <c r="F34" s="43"/>
      <c r="G34" s="43"/>
      <c r="H34" s="43"/>
      <c r="I34" s="43"/>
      <c r="J34" s="43"/>
      <c r="K34" s="43"/>
      <c r="L34" s="43"/>
      <c r="M34" s="43"/>
      <c r="N34" s="44"/>
    </row>
    <row r="35" spans="1:14" ht="17.25" customHeight="1" x14ac:dyDescent="0.25">
      <c r="A35" s="36">
        <v>26</v>
      </c>
      <c r="B35" s="42" t="s">
        <v>101</v>
      </c>
      <c r="C35" s="43"/>
      <c r="D35" s="43"/>
      <c r="E35" s="43"/>
      <c r="F35" s="43"/>
      <c r="G35" s="43"/>
      <c r="H35" s="43"/>
      <c r="I35" s="43"/>
      <c r="J35" s="43"/>
      <c r="K35" s="43"/>
      <c r="L35" s="43"/>
      <c r="M35" s="43"/>
      <c r="N35" s="44"/>
    </row>
    <row r="36" spans="1:14" ht="45.75" customHeight="1" x14ac:dyDescent="0.25">
      <c r="A36" s="36">
        <v>27</v>
      </c>
      <c r="B36" s="42" t="s">
        <v>102</v>
      </c>
      <c r="C36" s="43"/>
      <c r="D36" s="43"/>
      <c r="E36" s="43"/>
      <c r="F36" s="43"/>
      <c r="G36" s="43"/>
      <c r="H36" s="43"/>
      <c r="I36" s="43"/>
      <c r="J36" s="43"/>
      <c r="K36" s="43"/>
      <c r="L36" s="43"/>
      <c r="M36" s="43"/>
      <c r="N36" s="44"/>
    </row>
    <row r="37" spans="1:14" ht="17.25" customHeight="1" x14ac:dyDescent="0.25">
      <c r="A37" s="36">
        <v>28</v>
      </c>
      <c r="B37" s="42"/>
      <c r="C37" s="43"/>
      <c r="D37" s="43"/>
      <c r="E37" s="43"/>
      <c r="F37" s="43"/>
      <c r="G37" s="43"/>
      <c r="H37" s="43"/>
      <c r="I37" s="43"/>
      <c r="J37" s="43"/>
      <c r="K37" s="43"/>
      <c r="L37" s="43"/>
      <c r="M37" s="43"/>
      <c r="N37" s="44"/>
    </row>
    <row r="38" spans="1:14" ht="17.25" customHeight="1" x14ac:dyDescent="0.25">
      <c r="A38" s="36">
        <v>29</v>
      </c>
      <c r="B38" s="42"/>
      <c r="C38" s="43"/>
      <c r="D38" s="43"/>
      <c r="E38" s="43"/>
      <c r="F38" s="43"/>
      <c r="G38" s="43"/>
      <c r="H38" s="43"/>
      <c r="I38" s="43"/>
      <c r="J38" s="43"/>
      <c r="K38" s="43"/>
      <c r="L38" s="43"/>
      <c r="M38" s="43"/>
      <c r="N38" s="44"/>
    </row>
    <row r="39" spans="1:14" ht="17.25" customHeight="1" x14ac:dyDescent="0.25">
      <c r="A39" s="36">
        <v>30</v>
      </c>
      <c r="B39" s="42"/>
      <c r="C39" s="43"/>
      <c r="D39" s="43"/>
      <c r="E39" s="43"/>
      <c r="F39" s="43"/>
      <c r="G39" s="43"/>
      <c r="H39" s="43"/>
      <c r="I39" s="43"/>
      <c r="J39" s="43"/>
      <c r="K39" s="43"/>
      <c r="L39" s="43"/>
      <c r="M39" s="43"/>
      <c r="N39" s="44"/>
    </row>
    <row r="40" spans="1:14" ht="17.25" customHeight="1" x14ac:dyDescent="0.25">
      <c r="A40" s="36">
        <v>31</v>
      </c>
      <c r="B40" s="42"/>
      <c r="C40" s="43"/>
      <c r="D40" s="43"/>
      <c r="E40" s="43"/>
      <c r="F40" s="43"/>
      <c r="G40" s="43"/>
      <c r="H40" s="43"/>
      <c r="I40" s="43"/>
      <c r="J40" s="43"/>
      <c r="K40" s="43"/>
      <c r="L40" s="43"/>
      <c r="M40" s="43"/>
      <c r="N40" s="44"/>
    </row>
    <row r="41" spans="1:14" ht="17.25" customHeight="1" x14ac:dyDescent="0.25">
      <c r="A41" s="36">
        <v>32</v>
      </c>
      <c r="B41" s="42"/>
      <c r="C41" s="43"/>
      <c r="D41" s="43"/>
      <c r="E41" s="43"/>
      <c r="F41" s="43"/>
      <c r="G41" s="43"/>
      <c r="H41" s="43"/>
      <c r="I41" s="43"/>
      <c r="J41" s="43"/>
      <c r="K41" s="43"/>
      <c r="L41" s="43"/>
      <c r="M41" s="43"/>
      <c r="N41" s="44"/>
    </row>
    <row r="42" spans="1:14" ht="17.25" customHeight="1" x14ac:dyDescent="0.25">
      <c r="A42" s="36">
        <v>33</v>
      </c>
      <c r="B42" s="42"/>
      <c r="C42" s="43"/>
      <c r="D42" s="43"/>
      <c r="E42" s="43"/>
      <c r="F42" s="43"/>
      <c r="G42" s="43"/>
      <c r="H42" s="43"/>
      <c r="I42" s="43"/>
      <c r="J42" s="43"/>
      <c r="K42" s="43"/>
      <c r="L42" s="43"/>
      <c r="M42" s="43"/>
      <c r="N42" s="44"/>
    </row>
    <row r="43" spans="1:14" ht="17.25" customHeight="1" x14ac:dyDescent="0.25">
      <c r="A43" s="36">
        <v>34</v>
      </c>
      <c r="B43" s="42"/>
      <c r="C43" s="43"/>
      <c r="D43" s="43"/>
      <c r="E43" s="43"/>
      <c r="F43" s="43"/>
      <c r="G43" s="43"/>
      <c r="H43" s="43"/>
      <c r="I43" s="43"/>
      <c r="J43" s="43"/>
      <c r="K43" s="43"/>
      <c r="L43" s="43"/>
      <c r="M43" s="43"/>
      <c r="N43" s="44"/>
    </row>
    <row r="44" spans="1:14" ht="17.25" customHeight="1" x14ac:dyDescent="0.25">
      <c r="A44" s="36">
        <v>35</v>
      </c>
      <c r="B44" s="42" t="s">
        <v>97</v>
      </c>
      <c r="C44" s="43"/>
      <c r="D44" s="43"/>
      <c r="E44" s="43"/>
      <c r="F44" s="43"/>
      <c r="G44" s="43"/>
      <c r="H44" s="43"/>
      <c r="I44" s="43"/>
      <c r="J44" s="43"/>
      <c r="K44" s="43"/>
      <c r="L44" s="43"/>
      <c r="M44" s="43"/>
      <c r="N44" s="44"/>
    </row>
    <row r="45" spans="1:14" ht="17.25" customHeight="1" x14ac:dyDescent="0.25">
      <c r="A45" s="36">
        <v>36</v>
      </c>
      <c r="B45" s="42"/>
      <c r="C45" s="43"/>
      <c r="D45" s="43"/>
      <c r="E45" s="43"/>
      <c r="F45" s="43"/>
      <c r="G45" s="43"/>
      <c r="H45" s="43"/>
      <c r="I45" s="43"/>
      <c r="J45" s="43"/>
      <c r="K45" s="43"/>
      <c r="L45" s="43"/>
      <c r="M45" s="43"/>
      <c r="N45" s="44"/>
    </row>
    <row r="46" spans="1:14" ht="17.25" customHeight="1" x14ac:dyDescent="0.25">
      <c r="A46" s="36">
        <v>37</v>
      </c>
      <c r="B46" s="42"/>
      <c r="C46" s="43"/>
      <c r="D46" s="43"/>
      <c r="E46" s="43"/>
      <c r="F46" s="43"/>
      <c r="G46" s="43"/>
      <c r="H46" s="43"/>
      <c r="I46" s="43"/>
      <c r="J46" s="43"/>
      <c r="K46" s="43"/>
      <c r="L46" s="43"/>
      <c r="M46" s="43"/>
      <c r="N46" s="44"/>
    </row>
    <row r="47" spans="1:14" ht="17.25" customHeight="1" x14ac:dyDescent="0.25">
      <c r="A47" s="36">
        <v>38</v>
      </c>
      <c r="B47" s="42"/>
      <c r="C47" s="43"/>
      <c r="D47" s="43"/>
      <c r="E47" s="43"/>
      <c r="F47" s="43"/>
      <c r="G47" s="43"/>
      <c r="H47" s="43"/>
      <c r="I47" s="43"/>
      <c r="J47" s="43"/>
      <c r="K47" s="43"/>
      <c r="L47" s="43"/>
      <c r="M47" s="43"/>
      <c r="N47" s="44"/>
    </row>
    <row r="48" spans="1:14" ht="17.25" customHeight="1" x14ac:dyDescent="0.25">
      <c r="A48" s="36">
        <v>39</v>
      </c>
      <c r="B48" s="42"/>
      <c r="C48" s="43"/>
      <c r="D48" s="43"/>
      <c r="E48" s="43"/>
      <c r="F48" s="43"/>
      <c r="G48" s="43"/>
      <c r="H48" s="43"/>
      <c r="I48" s="43"/>
      <c r="J48" s="43"/>
      <c r="K48" s="43"/>
      <c r="L48" s="43"/>
      <c r="M48" s="43"/>
      <c r="N48" s="44"/>
    </row>
    <row r="49" spans="1:14" ht="17.25" customHeight="1" x14ac:dyDescent="0.25">
      <c r="A49" s="36">
        <v>40</v>
      </c>
      <c r="B49" s="42"/>
      <c r="C49" s="43"/>
      <c r="D49" s="43"/>
      <c r="E49" s="43"/>
      <c r="F49" s="43"/>
      <c r="G49" s="43"/>
      <c r="H49" s="43"/>
      <c r="I49" s="43"/>
      <c r="J49" s="43"/>
      <c r="K49" s="43"/>
      <c r="L49" s="43"/>
      <c r="M49" s="43"/>
      <c r="N49" s="44"/>
    </row>
    <row r="50" spans="1:14" ht="17.25" customHeight="1" x14ac:dyDescent="0.25">
      <c r="A50" s="36">
        <v>41</v>
      </c>
      <c r="B50" s="42"/>
      <c r="C50" s="43"/>
      <c r="D50" s="43"/>
      <c r="E50" s="43"/>
      <c r="F50" s="43"/>
      <c r="G50" s="43"/>
      <c r="H50" s="43"/>
      <c r="I50" s="43"/>
      <c r="J50" s="43"/>
      <c r="K50" s="43"/>
      <c r="L50" s="43"/>
      <c r="M50" s="43"/>
      <c r="N50" s="44"/>
    </row>
    <row r="51" spans="1:14" ht="17.25" customHeight="1" x14ac:dyDescent="0.25">
      <c r="A51" s="36">
        <v>42</v>
      </c>
      <c r="B51" s="42"/>
      <c r="C51" s="43"/>
      <c r="D51" s="43"/>
      <c r="E51" s="43"/>
      <c r="F51" s="43"/>
      <c r="G51" s="43"/>
      <c r="H51" s="43"/>
      <c r="I51" s="43"/>
      <c r="J51" s="43"/>
      <c r="K51" s="43"/>
      <c r="L51" s="43"/>
      <c r="M51" s="43"/>
      <c r="N51" s="44"/>
    </row>
    <row r="52" spans="1:14" ht="17.25" customHeight="1" x14ac:dyDescent="0.25">
      <c r="A52" s="36">
        <v>43</v>
      </c>
      <c r="B52" s="42"/>
      <c r="C52" s="43"/>
      <c r="D52" s="43"/>
      <c r="E52" s="43"/>
      <c r="F52" s="43"/>
      <c r="G52" s="43"/>
      <c r="H52" s="43"/>
      <c r="I52" s="43"/>
      <c r="J52" s="43"/>
      <c r="K52" s="43"/>
      <c r="L52" s="43"/>
      <c r="M52" s="43"/>
      <c r="N52" s="44"/>
    </row>
    <row r="53" spans="1:14" ht="17.25" customHeight="1" x14ac:dyDescent="0.25">
      <c r="A53" s="36">
        <v>44</v>
      </c>
      <c r="B53" s="42"/>
      <c r="C53" s="43"/>
      <c r="D53" s="43"/>
      <c r="E53" s="43"/>
      <c r="F53" s="43"/>
      <c r="G53" s="43"/>
      <c r="H53" s="43"/>
      <c r="I53" s="43"/>
      <c r="J53" s="43"/>
      <c r="K53" s="43"/>
      <c r="L53" s="43"/>
      <c r="M53" s="43"/>
      <c r="N53" s="44"/>
    </row>
    <row r="54" spans="1:14" ht="17.25" customHeight="1" x14ac:dyDescent="0.25">
      <c r="A54" s="36">
        <v>45</v>
      </c>
      <c r="B54" s="42"/>
      <c r="C54" s="43"/>
      <c r="D54" s="43"/>
      <c r="E54" s="43"/>
      <c r="F54" s="43"/>
      <c r="G54" s="43"/>
      <c r="H54" s="43"/>
      <c r="I54" s="43"/>
      <c r="J54" s="43"/>
      <c r="K54" s="43"/>
      <c r="L54" s="43"/>
      <c r="M54" s="43"/>
      <c r="N54" s="44"/>
    </row>
    <row r="55" spans="1:14" ht="17.25" customHeight="1" x14ac:dyDescent="0.25">
      <c r="A55" s="36">
        <v>46</v>
      </c>
      <c r="B55" s="42"/>
      <c r="C55" s="43"/>
      <c r="D55" s="43"/>
      <c r="E55" s="43"/>
      <c r="F55" s="43"/>
      <c r="G55" s="43"/>
      <c r="H55" s="43"/>
      <c r="I55" s="43"/>
      <c r="J55" s="43"/>
      <c r="K55" s="43"/>
      <c r="L55" s="43"/>
      <c r="M55" s="43"/>
      <c r="N55" s="44"/>
    </row>
    <row r="56" spans="1:14" ht="17.25" customHeight="1" x14ac:dyDescent="0.25">
      <c r="A56" s="36">
        <v>47</v>
      </c>
      <c r="B56" s="42"/>
      <c r="C56" s="43"/>
      <c r="D56" s="43"/>
      <c r="E56" s="43"/>
      <c r="F56" s="43"/>
      <c r="G56" s="43"/>
      <c r="H56" s="43"/>
      <c r="I56" s="43"/>
      <c r="J56" s="43"/>
      <c r="K56" s="43"/>
      <c r="L56" s="43"/>
      <c r="M56" s="43"/>
      <c r="N56" s="44"/>
    </row>
    <row r="57" spans="1:14" ht="17.25" customHeight="1" x14ac:dyDescent="0.25">
      <c r="A57" s="36">
        <v>48</v>
      </c>
      <c r="B57" s="42"/>
      <c r="C57" s="43"/>
      <c r="D57" s="43"/>
      <c r="E57" s="43"/>
      <c r="F57" s="43"/>
      <c r="G57" s="43"/>
      <c r="H57" s="43"/>
      <c r="I57" s="43"/>
      <c r="J57" s="43"/>
      <c r="K57" s="43"/>
      <c r="L57" s="43"/>
      <c r="M57" s="43"/>
      <c r="N57" s="44"/>
    </row>
    <row r="58" spans="1:14" ht="17.25" customHeight="1" x14ac:dyDescent="0.25">
      <c r="A58" s="36">
        <v>49</v>
      </c>
      <c r="B58" s="42"/>
      <c r="C58" s="43"/>
      <c r="D58" s="43"/>
      <c r="E58" s="43"/>
      <c r="F58" s="43"/>
      <c r="G58" s="43"/>
      <c r="H58" s="43"/>
      <c r="I58" s="43"/>
      <c r="J58" s="43"/>
      <c r="K58" s="43"/>
      <c r="L58" s="43"/>
      <c r="M58" s="43"/>
      <c r="N58" s="44"/>
    </row>
    <row r="59" spans="1:14" ht="17.25" customHeight="1" x14ac:dyDescent="0.25">
      <c r="A59" s="36">
        <v>50</v>
      </c>
      <c r="B59" s="42"/>
      <c r="C59" s="43"/>
      <c r="D59" s="43"/>
      <c r="E59" s="43"/>
      <c r="F59" s="43"/>
      <c r="G59" s="43"/>
      <c r="H59" s="43"/>
      <c r="I59" s="43"/>
      <c r="J59" s="43"/>
      <c r="K59" s="43"/>
      <c r="L59" s="43"/>
      <c r="M59" s="43"/>
      <c r="N59" s="44"/>
    </row>
    <row r="60" spans="1:14" ht="17.25" customHeight="1" x14ac:dyDescent="0.25">
      <c r="A60" s="36">
        <v>51</v>
      </c>
      <c r="B60" s="42"/>
      <c r="C60" s="43"/>
      <c r="D60" s="43"/>
      <c r="E60" s="43"/>
      <c r="F60" s="43"/>
      <c r="G60" s="43"/>
      <c r="H60" s="43"/>
      <c r="I60" s="43"/>
      <c r="J60" s="43"/>
      <c r="K60" s="43"/>
      <c r="L60" s="43"/>
      <c r="M60" s="43"/>
      <c r="N60" s="44"/>
    </row>
    <row r="61" spans="1:14" ht="17.25" customHeight="1" x14ac:dyDescent="0.25">
      <c r="A61" s="36">
        <v>52</v>
      </c>
      <c r="B61" s="42"/>
      <c r="C61" s="43"/>
      <c r="D61" s="43"/>
      <c r="E61" s="43"/>
      <c r="F61" s="43"/>
      <c r="G61" s="43"/>
      <c r="H61" s="43"/>
      <c r="I61" s="43"/>
      <c r="J61" s="43"/>
      <c r="K61" s="43"/>
      <c r="L61" s="43"/>
      <c r="M61" s="43"/>
      <c r="N61" s="44"/>
    </row>
    <row r="62" spans="1:14" ht="17.25" customHeight="1" x14ac:dyDescent="0.25">
      <c r="A62" s="36">
        <v>53</v>
      </c>
      <c r="B62" s="42"/>
      <c r="C62" s="43"/>
      <c r="D62" s="43"/>
      <c r="E62" s="43"/>
      <c r="F62" s="43"/>
      <c r="G62" s="43"/>
      <c r="H62" s="43"/>
      <c r="I62" s="43"/>
      <c r="J62" s="43"/>
      <c r="K62" s="43"/>
      <c r="L62" s="43"/>
      <c r="M62" s="43"/>
      <c r="N62" s="44"/>
    </row>
    <row r="63" spans="1:14" ht="17.25" customHeight="1" x14ac:dyDescent="0.25">
      <c r="A63" s="36">
        <v>54</v>
      </c>
      <c r="B63" s="42"/>
      <c r="C63" s="43"/>
      <c r="D63" s="43"/>
      <c r="E63" s="43"/>
      <c r="F63" s="43"/>
      <c r="G63" s="43"/>
      <c r="H63" s="43"/>
      <c r="I63" s="43"/>
      <c r="J63" s="43"/>
      <c r="K63" s="43"/>
      <c r="L63" s="43"/>
      <c r="M63" s="43"/>
      <c r="N63" s="44"/>
    </row>
    <row r="64" spans="1:14" ht="17.25" customHeight="1" x14ac:dyDescent="0.25">
      <c r="A64" s="36">
        <v>55</v>
      </c>
      <c r="B64" s="42"/>
      <c r="C64" s="43"/>
      <c r="D64" s="43"/>
      <c r="E64" s="43"/>
      <c r="F64" s="43"/>
      <c r="G64" s="43"/>
      <c r="H64" s="43"/>
      <c r="I64" s="43"/>
      <c r="J64" s="43"/>
      <c r="K64" s="43"/>
      <c r="L64" s="43"/>
      <c r="M64" s="43"/>
      <c r="N64" s="44"/>
    </row>
    <row r="65" spans="1:14" ht="17.25" customHeight="1" x14ac:dyDescent="0.25">
      <c r="A65" s="36">
        <v>56</v>
      </c>
      <c r="B65" s="42"/>
      <c r="C65" s="43"/>
      <c r="D65" s="43"/>
      <c r="E65" s="43"/>
      <c r="F65" s="43"/>
      <c r="G65" s="43"/>
      <c r="H65" s="43"/>
      <c r="I65" s="43"/>
      <c r="J65" s="43"/>
      <c r="K65" s="43"/>
      <c r="L65" s="43"/>
      <c r="M65" s="43"/>
      <c r="N65" s="44"/>
    </row>
    <row r="66" spans="1:14" ht="17.25" customHeight="1" x14ac:dyDescent="0.25">
      <c r="A66" s="36">
        <v>57</v>
      </c>
      <c r="B66" s="42"/>
      <c r="C66" s="43"/>
      <c r="D66" s="43"/>
      <c r="E66" s="43"/>
      <c r="F66" s="43"/>
      <c r="G66" s="43"/>
      <c r="H66" s="43"/>
      <c r="I66" s="43"/>
      <c r="J66" s="43"/>
      <c r="K66" s="43"/>
      <c r="L66" s="43"/>
      <c r="M66" s="43"/>
      <c r="N66" s="44"/>
    </row>
    <row r="67" spans="1:14" ht="17.25" customHeight="1" x14ac:dyDescent="0.25">
      <c r="A67" s="36">
        <v>58</v>
      </c>
      <c r="B67" s="42"/>
      <c r="C67" s="43"/>
      <c r="D67" s="43"/>
      <c r="E67" s="43"/>
      <c r="F67" s="43"/>
      <c r="G67" s="43"/>
      <c r="H67" s="43"/>
      <c r="I67" s="43"/>
      <c r="J67" s="43"/>
      <c r="K67" s="43"/>
      <c r="L67" s="43"/>
      <c r="M67" s="43"/>
      <c r="N67" s="44"/>
    </row>
    <row r="68" spans="1:14" ht="17.25" customHeight="1" x14ac:dyDescent="0.25">
      <c r="A68" s="36">
        <v>59</v>
      </c>
      <c r="B68" s="42"/>
      <c r="C68" s="43"/>
      <c r="D68" s="43"/>
      <c r="E68" s="43"/>
      <c r="F68" s="43"/>
      <c r="G68" s="43"/>
      <c r="H68" s="43"/>
      <c r="I68" s="43"/>
      <c r="J68" s="43"/>
      <c r="K68" s="43"/>
      <c r="L68" s="43"/>
      <c r="M68" s="43"/>
      <c r="N68" s="44"/>
    </row>
    <row r="69" spans="1:14" ht="17.25" customHeight="1" thickBot="1" x14ac:dyDescent="0.3">
      <c r="A69" s="36">
        <v>60</v>
      </c>
      <c r="B69" s="45"/>
      <c r="C69" s="46"/>
      <c r="D69" s="46"/>
      <c r="E69" s="46"/>
      <c r="F69" s="46"/>
      <c r="G69" s="46"/>
      <c r="H69" s="46"/>
      <c r="I69" s="46"/>
      <c r="J69" s="46"/>
      <c r="K69" s="46"/>
      <c r="L69" s="46"/>
      <c r="M69" s="46"/>
      <c r="N69" s="47"/>
    </row>
  </sheetData>
  <autoFilter ref="A31:N69" xr:uid="{5BD0C89D-0EFC-42D7-8276-00B32D194840}">
    <filterColumn colId="1" showButton="0"/>
    <filterColumn colId="2" showButton="0"/>
    <filterColumn colId="3" showButton="0"/>
    <filterColumn colId="4" showButton="0"/>
    <filterColumn colId="5" showButton="0"/>
    <filterColumn colId="6" showButton="0"/>
    <filterColumn colId="7" showButton="0"/>
    <filterColumn colId="8" showButton="0"/>
    <filterColumn colId="9" showButton="0"/>
    <filterColumn colId="10" showButton="0"/>
    <filterColumn colId="11" showButton="0"/>
    <filterColumn colId="12" showButton="0"/>
  </autoFilter>
  <mergeCells count="69">
    <mergeCell ref="A1:C1"/>
    <mergeCell ref="B2:N2"/>
    <mergeCell ref="B3:N3"/>
    <mergeCell ref="B4:N4"/>
    <mergeCell ref="B5:N5"/>
    <mergeCell ref="B7:N7"/>
    <mergeCell ref="B37:N37"/>
    <mergeCell ref="B22:N22"/>
    <mergeCell ref="B24:N24"/>
    <mergeCell ref="B26:N26"/>
    <mergeCell ref="B28:N28"/>
    <mergeCell ref="B29:N29"/>
    <mergeCell ref="B31:N31"/>
    <mergeCell ref="B32:N32"/>
    <mergeCell ref="B34:N34"/>
    <mergeCell ref="B35:N35"/>
    <mergeCell ref="B36:N36"/>
    <mergeCell ref="B49:N49"/>
    <mergeCell ref="B38:N38"/>
    <mergeCell ref="B39:N39"/>
    <mergeCell ref="B40:N40"/>
    <mergeCell ref="B41:N41"/>
    <mergeCell ref="B42:N42"/>
    <mergeCell ref="B43:N43"/>
    <mergeCell ref="B44:N44"/>
    <mergeCell ref="B45:N45"/>
    <mergeCell ref="B46:N46"/>
    <mergeCell ref="B47:N47"/>
    <mergeCell ref="B48:N48"/>
    <mergeCell ref="B59:N59"/>
    <mergeCell ref="B60:N60"/>
    <mergeCell ref="B61:N61"/>
    <mergeCell ref="B50:N50"/>
    <mergeCell ref="B51:N51"/>
    <mergeCell ref="B52:N52"/>
    <mergeCell ref="B53:N53"/>
    <mergeCell ref="B54:N54"/>
    <mergeCell ref="B55:N55"/>
    <mergeCell ref="B6:N6"/>
    <mergeCell ref="B17:N17"/>
    <mergeCell ref="B11:N11"/>
    <mergeCell ref="B23:N23"/>
    <mergeCell ref="B25:N25"/>
    <mergeCell ref="B15:N15"/>
    <mergeCell ref="B16:N16"/>
    <mergeCell ref="B18:N18"/>
    <mergeCell ref="B19:N19"/>
    <mergeCell ref="B20:N20"/>
    <mergeCell ref="B21:N21"/>
    <mergeCell ref="B10:N10"/>
    <mergeCell ref="B12:N12"/>
    <mergeCell ref="B13:N13"/>
    <mergeCell ref="B14:N14"/>
    <mergeCell ref="B30:N30"/>
    <mergeCell ref="B33:N33"/>
    <mergeCell ref="B68:N68"/>
    <mergeCell ref="B69:N69"/>
    <mergeCell ref="E8:N8"/>
    <mergeCell ref="G9:N9"/>
    <mergeCell ref="B27:N27"/>
    <mergeCell ref="B62:N62"/>
    <mergeCell ref="B63:N63"/>
    <mergeCell ref="B64:N64"/>
    <mergeCell ref="B65:N65"/>
    <mergeCell ref="B66:N66"/>
    <mergeCell ref="B67:N67"/>
    <mergeCell ref="B56:N56"/>
    <mergeCell ref="B57:N57"/>
    <mergeCell ref="B58:N58"/>
  </mergeCells>
  <pageMargins left="0.7" right="0.7" top="0.75" bottom="0.75" header="0.3" footer="0.3"/>
  <pageSetup orientation="portrait" horizontalDpi="90" verticalDpi="9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628A2-153A-4AB8-96CC-38E01D495AC2}">
  <dimension ref="A1:K54"/>
  <sheetViews>
    <sheetView showGridLines="0" workbookViewId="0">
      <selection activeCell="Q13" sqref="Q13"/>
    </sheetView>
  </sheetViews>
  <sheetFormatPr defaultRowHeight="15" x14ac:dyDescent="0.25"/>
  <cols>
    <col min="1" max="1" width="14.28515625" style="14" customWidth="1"/>
    <col min="2" max="2" width="9.42578125" bestFit="1" customWidth="1"/>
    <col min="3" max="3" width="10.28515625" bestFit="1" customWidth="1"/>
    <col min="4" max="4" width="7.7109375" bestFit="1" customWidth="1"/>
    <col min="5" max="5" width="8" bestFit="1" customWidth="1"/>
    <col min="6" max="6" width="11.42578125" bestFit="1" customWidth="1"/>
    <col min="7" max="7" width="8" bestFit="1" customWidth="1"/>
    <col min="9" max="9" width="25.85546875" customWidth="1"/>
    <col min="10" max="10" width="50.5703125" customWidth="1"/>
  </cols>
  <sheetData>
    <row r="1" spans="1:11" ht="15.75" thickBot="1" x14ac:dyDescent="0.3">
      <c r="A1" s="71" t="s">
        <v>64</v>
      </c>
      <c r="B1" s="72"/>
      <c r="C1" s="72"/>
      <c r="D1" s="72"/>
      <c r="E1" s="72"/>
      <c r="F1" s="72"/>
      <c r="G1" s="72"/>
      <c r="H1" s="72"/>
      <c r="I1" s="72"/>
      <c r="J1" s="73"/>
    </row>
    <row r="2" spans="1:11" s="10" customFormat="1" ht="15.75" thickBot="1" x14ac:dyDescent="0.3">
      <c r="A2" s="16" t="s">
        <v>36</v>
      </c>
      <c r="B2" s="17" t="s">
        <v>37</v>
      </c>
      <c r="C2" s="17" t="s">
        <v>38</v>
      </c>
      <c r="D2" s="17" t="s">
        <v>39</v>
      </c>
      <c r="E2" s="17" t="s">
        <v>40</v>
      </c>
      <c r="F2" s="17" t="s">
        <v>41</v>
      </c>
      <c r="G2" s="17" t="s">
        <v>34</v>
      </c>
      <c r="I2" s="12" t="s">
        <v>61</v>
      </c>
      <c r="J2" t="s">
        <v>63</v>
      </c>
      <c r="K2"/>
    </row>
    <row r="3" spans="1:11" x14ac:dyDescent="0.25">
      <c r="A3" s="25">
        <v>44219</v>
      </c>
      <c r="B3" s="18" t="s">
        <v>42</v>
      </c>
      <c r="C3" s="18" t="s">
        <v>43</v>
      </c>
      <c r="D3" s="18" t="s">
        <v>44</v>
      </c>
      <c r="E3" s="18">
        <v>50</v>
      </c>
      <c r="F3" s="18">
        <v>19.989999999999998</v>
      </c>
      <c r="G3" s="19">
        <f>E3*F3</f>
        <v>999.49999999999989</v>
      </c>
      <c r="I3" s="13" t="s">
        <v>42</v>
      </c>
      <c r="J3">
        <v>11709.03</v>
      </c>
    </row>
    <row r="4" spans="1:11" x14ac:dyDescent="0.25">
      <c r="A4" s="20">
        <v>44236</v>
      </c>
      <c r="B4" t="s">
        <v>42</v>
      </c>
      <c r="C4" t="s">
        <v>45</v>
      </c>
      <c r="D4" t="s">
        <v>46</v>
      </c>
      <c r="E4">
        <v>40</v>
      </c>
      <c r="F4">
        <v>4.99</v>
      </c>
      <c r="G4" s="21">
        <f t="shared" ref="G4:G45" si="0">E4*F4</f>
        <v>199.60000000000002</v>
      </c>
      <c r="I4" s="15" t="s">
        <v>49</v>
      </c>
      <c r="J4">
        <v>438.37</v>
      </c>
    </row>
    <row r="5" spans="1:11" x14ac:dyDescent="0.25">
      <c r="A5" s="20">
        <v>44253</v>
      </c>
      <c r="B5" t="s">
        <v>42</v>
      </c>
      <c r="C5" t="s">
        <v>47</v>
      </c>
      <c r="D5" t="s">
        <v>48</v>
      </c>
      <c r="E5">
        <v>27</v>
      </c>
      <c r="F5">
        <v>19.989999999999998</v>
      </c>
      <c r="G5" s="21">
        <f t="shared" si="0"/>
        <v>539.7299999999999</v>
      </c>
      <c r="I5" s="15" t="s">
        <v>47</v>
      </c>
      <c r="J5">
        <v>1749.8700000000001</v>
      </c>
    </row>
    <row r="6" spans="1:11" x14ac:dyDescent="0.25">
      <c r="A6" s="20">
        <v>44304</v>
      </c>
      <c r="B6" t="s">
        <v>42</v>
      </c>
      <c r="C6" t="s">
        <v>49</v>
      </c>
      <c r="D6" t="s">
        <v>46</v>
      </c>
      <c r="E6">
        <v>75</v>
      </c>
      <c r="F6">
        <v>1.99</v>
      </c>
      <c r="G6" s="21">
        <f t="shared" si="0"/>
        <v>149.25</v>
      </c>
      <c r="I6" s="15" t="s">
        <v>45</v>
      </c>
      <c r="J6">
        <v>2832.15</v>
      </c>
    </row>
    <row r="7" spans="1:11" x14ac:dyDescent="0.25">
      <c r="A7" s="20">
        <v>44321</v>
      </c>
      <c r="B7" t="s">
        <v>42</v>
      </c>
      <c r="C7" t="s">
        <v>45</v>
      </c>
      <c r="D7" t="s">
        <v>46</v>
      </c>
      <c r="E7">
        <v>90</v>
      </c>
      <c r="F7">
        <v>4.99</v>
      </c>
      <c r="G7" s="21">
        <f t="shared" si="0"/>
        <v>449.1</v>
      </c>
      <c r="I7" s="15" t="s">
        <v>43</v>
      </c>
      <c r="J7">
        <v>3109.44</v>
      </c>
    </row>
    <row r="8" spans="1:11" x14ac:dyDescent="0.25">
      <c r="A8" s="20">
        <v>44372</v>
      </c>
      <c r="B8" t="s">
        <v>42</v>
      </c>
      <c r="C8" t="s">
        <v>50</v>
      </c>
      <c r="D8" t="s">
        <v>46</v>
      </c>
      <c r="E8">
        <v>90</v>
      </c>
      <c r="F8">
        <v>4.99</v>
      </c>
      <c r="G8" s="21">
        <f t="shared" si="0"/>
        <v>449.1</v>
      </c>
      <c r="I8" s="15" t="s">
        <v>50</v>
      </c>
      <c r="J8">
        <v>1387.77</v>
      </c>
    </row>
    <row r="9" spans="1:11" x14ac:dyDescent="0.25">
      <c r="A9" s="20">
        <v>44440</v>
      </c>
      <c r="B9" t="s">
        <v>42</v>
      </c>
      <c r="C9" t="s">
        <v>51</v>
      </c>
      <c r="D9" t="s">
        <v>52</v>
      </c>
      <c r="E9">
        <v>4</v>
      </c>
      <c r="F9">
        <v>200</v>
      </c>
      <c r="G9" s="21">
        <f t="shared" si="0"/>
        <v>800</v>
      </c>
      <c r="I9" s="15" t="s">
        <v>51</v>
      </c>
      <c r="J9">
        <v>2191.4300000000003</v>
      </c>
    </row>
    <row r="10" spans="1:11" x14ac:dyDescent="0.25">
      <c r="A10" s="20">
        <v>44474</v>
      </c>
      <c r="B10" t="s">
        <v>42</v>
      </c>
      <c r="C10" t="s">
        <v>50</v>
      </c>
      <c r="D10" t="s">
        <v>44</v>
      </c>
      <c r="E10">
        <v>28</v>
      </c>
      <c r="F10">
        <v>8.99</v>
      </c>
      <c r="G10" s="21">
        <f t="shared" si="0"/>
        <v>251.72</v>
      </c>
      <c r="I10" s="13" t="s">
        <v>54</v>
      </c>
      <c r="J10">
        <v>6012.1299999999992</v>
      </c>
    </row>
    <row r="11" spans="1:11" x14ac:dyDescent="0.25">
      <c r="A11" s="20">
        <v>44525</v>
      </c>
      <c r="B11" t="s">
        <v>42</v>
      </c>
      <c r="C11" t="s">
        <v>43</v>
      </c>
      <c r="D11" t="s">
        <v>53</v>
      </c>
      <c r="E11">
        <v>96</v>
      </c>
      <c r="F11">
        <v>4.99</v>
      </c>
      <c r="G11" s="21">
        <f t="shared" si="0"/>
        <v>479.04</v>
      </c>
      <c r="I11" s="15" t="s">
        <v>56</v>
      </c>
      <c r="J11">
        <v>536.75</v>
      </c>
    </row>
    <row r="12" spans="1:11" x14ac:dyDescent="0.25">
      <c r="A12" s="20">
        <v>44542</v>
      </c>
      <c r="B12" t="s">
        <v>42</v>
      </c>
      <c r="C12" t="s">
        <v>51</v>
      </c>
      <c r="D12" t="s">
        <v>46</v>
      </c>
      <c r="E12">
        <v>67</v>
      </c>
      <c r="F12">
        <v>1.29</v>
      </c>
      <c r="G12" s="21">
        <f t="shared" si="0"/>
        <v>86.43</v>
      </c>
      <c r="I12" s="15" t="s">
        <v>55</v>
      </c>
      <c r="J12">
        <v>2373.08</v>
      </c>
    </row>
    <row r="13" spans="1:11" x14ac:dyDescent="0.25">
      <c r="A13" s="20">
        <v>44576</v>
      </c>
      <c r="B13" t="s">
        <v>42</v>
      </c>
      <c r="C13" t="s">
        <v>47</v>
      </c>
      <c r="D13" t="s">
        <v>44</v>
      </c>
      <c r="E13">
        <v>46</v>
      </c>
      <c r="F13">
        <v>8.99</v>
      </c>
      <c r="G13" s="21">
        <f t="shared" si="0"/>
        <v>413.54</v>
      </c>
      <c r="I13" s="15" t="s">
        <v>57</v>
      </c>
      <c r="J13">
        <v>3102.2999999999997</v>
      </c>
    </row>
    <row r="14" spans="1:11" x14ac:dyDescent="0.25">
      <c r="A14" s="20">
        <v>44593</v>
      </c>
      <c r="B14" t="s">
        <v>42</v>
      </c>
      <c r="C14" t="s">
        <v>51</v>
      </c>
      <c r="D14" t="s">
        <v>44</v>
      </c>
      <c r="E14">
        <v>87</v>
      </c>
      <c r="F14">
        <v>15</v>
      </c>
      <c r="G14" s="21">
        <f t="shared" si="0"/>
        <v>1305</v>
      </c>
      <c r="I14" s="13" t="s">
        <v>58</v>
      </c>
      <c r="J14">
        <v>2486.7199999999998</v>
      </c>
    </row>
    <row r="15" spans="1:11" x14ac:dyDescent="0.25">
      <c r="A15" s="20">
        <v>44644</v>
      </c>
      <c r="B15" t="s">
        <v>42</v>
      </c>
      <c r="C15" t="s">
        <v>45</v>
      </c>
      <c r="D15" t="s">
        <v>53</v>
      </c>
      <c r="E15">
        <v>50</v>
      </c>
      <c r="F15">
        <v>4.99</v>
      </c>
      <c r="G15" s="21">
        <f t="shared" si="0"/>
        <v>249.5</v>
      </c>
      <c r="I15" s="15" t="s">
        <v>59</v>
      </c>
      <c r="J15">
        <v>1283.6099999999999</v>
      </c>
    </row>
    <row r="16" spans="1:11" x14ac:dyDescent="0.25">
      <c r="A16" s="20">
        <v>44661</v>
      </c>
      <c r="B16" t="s">
        <v>42</v>
      </c>
      <c r="C16" t="s">
        <v>49</v>
      </c>
      <c r="D16" t="s">
        <v>46</v>
      </c>
      <c r="E16">
        <v>66</v>
      </c>
      <c r="F16">
        <v>1.99</v>
      </c>
      <c r="G16" s="21">
        <f t="shared" si="0"/>
        <v>131.34</v>
      </c>
      <c r="I16" s="15" t="s">
        <v>60</v>
      </c>
      <c r="J16">
        <v>1203.1099999999999</v>
      </c>
    </row>
    <row r="17" spans="1:10" x14ac:dyDescent="0.25">
      <c r="A17" s="20">
        <v>44695</v>
      </c>
      <c r="B17" t="s">
        <v>42</v>
      </c>
      <c r="C17" t="s">
        <v>47</v>
      </c>
      <c r="D17" t="s">
        <v>46</v>
      </c>
      <c r="E17">
        <v>53</v>
      </c>
      <c r="F17">
        <v>1.29</v>
      </c>
      <c r="G17" s="21">
        <f t="shared" si="0"/>
        <v>68.37</v>
      </c>
      <c r="I17" s="13" t="s">
        <v>62</v>
      </c>
      <c r="J17">
        <v>20207.88</v>
      </c>
    </row>
    <row r="18" spans="1:10" x14ac:dyDescent="0.25">
      <c r="A18" s="20">
        <v>44712</v>
      </c>
      <c r="B18" t="s">
        <v>42</v>
      </c>
      <c r="C18" t="s">
        <v>47</v>
      </c>
      <c r="D18" t="s">
        <v>44</v>
      </c>
      <c r="E18">
        <v>80</v>
      </c>
      <c r="F18">
        <v>8.99</v>
      </c>
      <c r="G18" s="21">
        <f t="shared" si="0"/>
        <v>719.2</v>
      </c>
    </row>
    <row r="19" spans="1:10" x14ac:dyDescent="0.25">
      <c r="A19" s="20">
        <v>44729</v>
      </c>
      <c r="B19" t="s">
        <v>42</v>
      </c>
      <c r="C19" t="s">
        <v>43</v>
      </c>
      <c r="D19" t="s">
        <v>52</v>
      </c>
      <c r="E19">
        <v>5</v>
      </c>
      <c r="F19">
        <v>125</v>
      </c>
      <c r="G19" s="21">
        <f t="shared" si="0"/>
        <v>625</v>
      </c>
    </row>
    <row r="20" spans="1:10" x14ac:dyDescent="0.25">
      <c r="A20" s="20">
        <v>44763</v>
      </c>
      <c r="B20" t="s">
        <v>42</v>
      </c>
      <c r="C20" t="s">
        <v>50</v>
      </c>
      <c r="D20" t="s">
        <v>53</v>
      </c>
      <c r="E20">
        <v>55</v>
      </c>
      <c r="F20">
        <v>12.49</v>
      </c>
      <c r="G20" s="21">
        <f t="shared" si="0"/>
        <v>686.95</v>
      </c>
    </row>
    <row r="21" spans="1:10" x14ac:dyDescent="0.25">
      <c r="A21" s="20">
        <v>44780</v>
      </c>
      <c r="B21" t="s">
        <v>42</v>
      </c>
      <c r="C21" t="s">
        <v>43</v>
      </c>
      <c r="D21" t="s">
        <v>53</v>
      </c>
      <c r="E21">
        <v>42</v>
      </c>
      <c r="F21">
        <v>23.95</v>
      </c>
      <c r="G21" s="21">
        <f t="shared" si="0"/>
        <v>1005.9</v>
      </c>
    </row>
    <row r="22" spans="1:10" x14ac:dyDescent="0.25">
      <c r="A22" s="20">
        <v>44814</v>
      </c>
      <c r="B22" t="s">
        <v>42</v>
      </c>
      <c r="C22" t="s">
        <v>47</v>
      </c>
      <c r="D22" t="s">
        <v>46</v>
      </c>
      <c r="E22">
        <v>7</v>
      </c>
      <c r="F22">
        <v>1.29</v>
      </c>
      <c r="G22" s="21">
        <f t="shared" si="0"/>
        <v>9.0300000000000011</v>
      </c>
    </row>
    <row r="23" spans="1:10" x14ac:dyDescent="0.25">
      <c r="A23" s="20">
        <v>44865</v>
      </c>
      <c r="B23" t="s">
        <v>42</v>
      </c>
      <c r="C23" t="s">
        <v>49</v>
      </c>
      <c r="D23" t="s">
        <v>46</v>
      </c>
      <c r="E23">
        <v>14</v>
      </c>
      <c r="F23">
        <v>1.29</v>
      </c>
      <c r="G23" s="21">
        <f t="shared" si="0"/>
        <v>18.060000000000002</v>
      </c>
    </row>
    <row r="24" spans="1:10" x14ac:dyDescent="0.25">
      <c r="A24" s="20">
        <v>44882</v>
      </c>
      <c r="B24" t="s">
        <v>42</v>
      </c>
      <c r="C24" t="s">
        <v>45</v>
      </c>
      <c r="D24" t="s">
        <v>44</v>
      </c>
      <c r="E24">
        <v>11</v>
      </c>
      <c r="F24">
        <v>4.99</v>
      </c>
      <c r="G24" s="21">
        <f t="shared" si="0"/>
        <v>54.89</v>
      </c>
    </row>
    <row r="25" spans="1:10" x14ac:dyDescent="0.25">
      <c r="A25" s="20">
        <v>44899</v>
      </c>
      <c r="B25" t="s">
        <v>42</v>
      </c>
      <c r="C25" t="s">
        <v>45</v>
      </c>
      <c r="D25" t="s">
        <v>44</v>
      </c>
      <c r="E25">
        <v>94</v>
      </c>
      <c r="F25">
        <v>19.989999999999998</v>
      </c>
      <c r="G25" s="21">
        <f t="shared" si="0"/>
        <v>1879.06</v>
      </c>
    </row>
    <row r="26" spans="1:10" x14ac:dyDescent="0.25">
      <c r="A26" s="20">
        <v>44916</v>
      </c>
      <c r="B26" t="s">
        <v>42</v>
      </c>
      <c r="C26" t="s">
        <v>49</v>
      </c>
      <c r="D26" t="s">
        <v>44</v>
      </c>
      <c r="E26">
        <v>28</v>
      </c>
      <c r="F26">
        <v>4.99</v>
      </c>
      <c r="G26" s="21">
        <f t="shared" si="0"/>
        <v>139.72</v>
      </c>
    </row>
    <row r="27" spans="1:10" x14ac:dyDescent="0.25">
      <c r="A27" s="20">
        <v>44202</v>
      </c>
      <c r="B27" t="s">
        <v>54</v>
      </c>
      <c r="C27" t="s">
        <v>55</v>
      </c>
      <c r="D27" t="s">
        <v>46</v>
      </c>
      <c r="E27">
        <v>95</v>
      </c>
      <c r="F27">
        <v>1.99</v>
      </c>
      <c r="G27" s="21">
        <f t="shared" si="0"/>
        <v>189.05</v>
      </c>
    </row>
    <row r="28" spans="1:10" x14ac:dyDescent="0.25">
      <c r="A28" s="20">
        <v>44287</v>
      </c>
      <c r="B28" t="s">
        <v>54</v>
      </c>
      <c r="C28" t="s">
        <v>55</v>
      </c>
      <c r="D28" t="s">
        <v>44</v>
      </c>
      <c r="E28">
        <v>60</v>
      </c>
      <c r="F28">
        <v>4.99</v>
      </c>
      <c r="G28" s="21">
        <f t="shared" si="0"/>
        <v>299.40000000000003</v>
      </c>
    </row>
    <row r="29" spans="1:10" x14ac:dyDescent="0.25">
      <c r="A29" s="20">
        <v>44355</v>
      </c>
      <c r="B29" t="s">
        <v>54</v>
      </c>
      <c r="C29" t="s">
        <v>55</v>
      </c>
      <c r="D29" t="s">
        <v>44</v>
      </c>
      <c r="E29">
        <v>60</v>
      </c>
      <c r="F29">
        <v>8.99</v>
      </c>
      <c r="G29" s="21">
        <f t="shared" si="0"/>
        <v>539.4</v>
      </c>
    </row>
    <row r="30" spans="1:10" x14ac:dyDescent="0.25">
      <c r="A30" s="20">
        <v>44389</v>
      </c>
      <c r="B30" t="s">
        <v>54</v>
      </c>
      <c r="C30" t="s">
        <v>56</v>
      </c>
      <c r="D30" t="s">
        <v>44</v>
      </c>
      <c r="E30">
        <v>29</v>
      </c>
      <c r="F30">
        <v>1.99</v>
      </c>
      <c r="G30" s="21">
        <f t="shared" si="0"/>
        <v>57.71</v>
      </c>
    </row>
    <row r="31" spans="1:10" x14ac:dyDescent="0.25">
      <c r="A31" s="20">
        <v>44406</v>
      </c>
      <c r="B31" t="s">
        <v>54</v>
      </c>
      <c r="C31" t="s">
        <v>57</v>
      </c>
      <c r="D31" t="s">
        <v>44</v>
      </c>
      <c r="E31">
        <v>81</v>
      </c>
      <c r="F31">
        <v>19.989999999999998</v>
      </c>
      <c r="G31" s="21">
        <f t="shared" si="0"/>
        <v>1619.1899999999998</v>
      </c>
    </row>
    <row r="32" spans="1:10" x14ac:dyDescent="0.25">
      <c r="A32" s="20">
        <v>44423</v>
      </c>
      <c r="B32" t="s">
        <v>54</v>
      </c>
      <c r="C32" t="s">
        <v>55</v>
      </c>
      <c r="D32" t="s">
        <v>46</v>
      </c>
      <c r="E32">
        <v>35</v>
      </c>
      <c r="F32">
        <v>4.99</v>
      </c>
      <c r="G32" s="21">
        <f t="shared" si="0"/>
        <v>174.65</v>
      </c>
    </row>
    <row r="33" spans="1:7" x14ac:dyDescent="0.25">
      <c r="A33" s="20">
        <v>44457</v>
      </c>
      <c r="B33" t="s">
        <v>54</v>
      </c>
      <c r="C33" t="s">
        <v>55</v>
      </c>
      <c r="D33" t="s">
        <v>53</v>
      </c>
      <c r="E33">
        <v>16</v>
      </c>
      <c r="F33">
        <v>15.99</v>
      </c>
      <c r="G33" s="21">
        <f t="shared" si="0"/>
        <v>255.84</v>
      </c>
    </row>
    <row r="34" spans="1:7" x14ac:dyDescent="0.25">
      <c r="A34" s="20">
        <v>44491</v>
      </c>
      <c r="B34" t="s">
        <v>54</v>
      </c>
      <c r="C34" t="s">
        <v>55</v>
      </c>
      <c r="D34" t="s">
        <v>48</v>
      </c>
      <c r="E34">
        <v>64</v>
      </c>
      <c r="F34">
        <v>8.99</v>
      </c>
      <c r="G34" s="21">
        <f t="shared" si="0"/>
        <v>575.36</v>
      </c>
    </row>
    <row r="35" spans="1:7" x14ac:dyDescent="0.25">
      <c r="A35" s="20">
        <v>44508</v>
      </c>
      <c r="B35" t="s">
        <v>54</v>
      </c>
      <c r="C35" t="s">
        <v>57</v>
      </c>
      <c r="D35" t="s">
        <v>48</v>
      </c>
      <c r="E35">
        <v>15</v>
      </c>
      <c r="F35">
        <v>19.989999999999998</v>
      </c>
      <c r="G35" s="21">
        <f t="shared" si="0"/>
        <v>299.84999999999997</v>
      </c>
    </row>
    <row r="36" spans="1:7" x14ac:dyDescent="0.25">
      <c r="A36" s="20">
        <v>44559</v>
      </c>
      <c r="B36" t="s">
        <v>54</v>
      </c>
      <c r="C36" t="s">
        <v>57</v>
      </c>
      <c r="D36" t="s">
        <v>53</v>
      </c>
      <c r="E36">
        <v>74</v>
      </c>
      <c r="F36">
        <v>15.99</v>
      </c>
      <c r="G36" s="21">
        <f t="shared" si="0"/>
        <v>1183.26</v>
      </c>
    </row>
    <row r="37" spans="1:7" x14ac:dyDescent="0.25">
      <c r="A37" s="20">
        <v>44610</v>
      </c>
      <c r="B37" t="s">
        <v>54</v>
      </c>
      <c r="C37" t="s">
        <v>55</v>
      </c>
      <c r="D37" t="s">
        <v>44</v>
      </c>
      <c r="E37">
        <v>5</v>
      </c>
      <c r="F37">
        <v>6</v>
      </c>
      <c r="G37" s="21">
        <f t="shared" si="0"/>
        <v>30</v>
      </c>
    </row>
    <row r="38" spans="1:7" x14ac:dyDescent="0.25">
      <c r="A38" s="20">
        <v>44678</v>
      </c>
      <c r="B38" t="s">
        <v>54</v>
      </c>
      <c r="C38" t="s">
        <v>56</v>
      </c>
      <c r="D38" t="s">
        <v>48</v>
      </c>
      <c r="E38">
        <v>96</v>
      </c>
      <c r="F38">
        <v>4.99</v>
      </c>
      <c r="G38" s="21">
        <f t="shared" si="0"/>
        <v>479.04</v>
      </c>
    </row>
    <row r="39" spans="1:7" x14ac:dyDescent="0.25">
      <c r="A39" s="20">
        <v>44746</v>
      </c>
      <c r="B39" t="s">
        <v>54</v>
      </c>
      <c r="C39" t="s">
        <v>55</v>
      </c>
      <c r="D39" t="s">
        <v>53</v>
      </c>
      <c r="E39">
        <v>62</v>
      </c>
      <c r="F39">
        <v>4.99</v>
      </c>
      <c r="G39" s="21">
        <f t="shared" si="0"/>
        <v>309.38</v>
      </c>
    </row>
    <row r="40" spans="1:7" x14ac:dyDescent="0.25">
      <c r="A40" s="20">
        <v>44270</v>
      </c>
      <c r="B40" t="s">
        <v>58</v>
      </c>
      <c r="C40" t="s">
        <v>59</v>
      </c>
      <c r="D40" t="s">
        <v>46</v>
      </c>
      <c r="E40">
        <v>56</v>
      </c>
      <c r="F40">
        <v>2.99</v>
      </c>
      <c r="G40" s="21">
        <f t="shared" si="0"/>
        <v>167.44</v>
      </c>
    </row>
    <row r="41" spans="1:7" x14ac:dyDescent="0.25">
      <c r="A41" s="20">
        <v>44338</v>
      </c>
      <c r="B41" t="s">
        <v>58</v>
      </c>
      <c r="C41" t="s">
        <v>60</v>
      </c>
      <c r="D41" t="s">
        <v>46</v>
      </c>
      <c r="E41">
        <v>32</v>
      </c>
      <c r="F41">
        <v>1.99</v>
      </c>
      <c r="G41" s="21">
        <f t="shared" si="0"/>
        <v>63.68</v>
      </c>
    </row>
    <row r="42" spans="1:7" x14ac:dyDescent="0.25">
      <c r="A42" s="20">
        <v>44627</v>
      </c>
      <c r="B42" t="s">
        <v>58</v>
      </c>
      <c r="C42" t="s">
        <v>59</v>
      </c>
      <c r="D42" t="s">
        <v>44</v>
      </c>
      <c r="E42">
        <v>7</v>
      </c>
      <c r="F42">
        <v>19.989999999999998</v>
      </c>
      <c r="G42" s="21">
        <f t="shared" si="0"/>
        <v>139.92999999999998</v>
      </c>
    </row>
    <row r="43" spans="1:7" x14ac:dyDescent="0.25">
      <c r="A43" s="20">
        <v>44797</v>
      </c>
      <c r="B43" t="s">
        <v>58</v>
      </c>
      <c r="C43" t="s">
        <v>59</v>
      </c>
      <c r="D43" t="s">
        <v>52</v>
      </c>
      <c r="E43">
        <v>3</v>
      </c>
      <c r="F43">
        <v>275</v>
      </c>
      <c r="G43" s="21">
        <f t="shared" si="0"/>
        <v>825</v>
      </c>
    </row>
    <row r="44" spans="1:7" x14ac:dyDescent="0.25">
      <c r="A44" s="20">
        <v>44831</v>
      </c>
      <c r="B44" t="s">
        <v>58</v>
      </c>
      <c r="C44" t="s">
        <v>59</v>
      </c>
      <c r="D44" t="s">
        <v>48</v>
      </c>
      <c r="E44">
        <v>76</v>
      </c>
      <c r="F44">
        <v>1.99</v>
      </c>
      <c r="G44" s="21">
        <f t="shared" si="0"/>
        <v>151.24</v>
      </c>
    </row>
    <row r="45" spans="1:7" ht="15.75" thickBot="1" x14ac:dyDescent="0.3">
      <c r="A45" s="22">
        <v>44848</v>
      </c>
      <c r="B45" s="23" t="s">
        <v>58</v>
      </c>
      <c r="C45" s="23" t="s">
        <v>60</v>
      </c>
      <c r="D45" s="23" t="s">
        <v>44</v>
      </c>
      <c r="E45" s="23">
        <v>57</v>
      </c>
      <c r="F45" s="23">
        <v>19.989999999999998</v>
      </c>
      <c r="G45" s="24">
        <f t="shared" si="0"/>
        <v>1139.4299999999998</v>
      </c>
    </row>
    <row r="50" spans="1:2" x14ac:dyDescent="0.25">
      <c r="A50">
        <v>309</v>
      </c>
      <c r="B50">
        <v>39</v>
      </c>
    </row>
    <row r="51" spans="1:2" x14ac:dyDescent="0.25">
      <c r="A51">
        <v>320</v>
      </c>
      <c r="B51">
        <v>25</v>
      </c>
    </row>
    <row r="52" spans="1:2" x14ac:dyDescent="0.25">
      <c r="A52">
        <v>318</v>
      </c>
      <c r="B52">
        <v>44</v>
      </c>
    </row>
    <row r="54" spans="1:2" ht="15.75" x14ac:dyDescent="0.25">
      <c r="A54" s="33" t="s">
        <v>88</v>
      </c>
    </row>
  </sheetData>
  <autoFilter ref="A2:G2" xr:uid="{C8D628A2-153A-4AB8-96CC-38E01D495AC2}"/>
  <mergeCells count="1">
    <mergeCell ref="A1:J1"/>
  </mergeCells>
  <pageMargins left="0.7" right="0.7" top="0.75" bottom="0.75" header="0.3" footer="0.3"/>
  <pageSetup orientation="portrait" horizontalDpi="90" verticalDpi="9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588C3-B5ED-4D3E-989B-C5C1AC4FF9B5}">
  <sheetPr codeName="Sheet2"/>
  <dimension ref="A1:S42"/>
  <sheetViews>
    <sheetView topLeftCell="A22" zoomScale="130" zoomScaleNormal="130" workbookViewId="0">
      <selection activeCell="C43" sqref="C43"/>
    </sheetView>
  </sheetViews>
  <sheetFormatPr defaultRowHeight="15" x14ac:dyDescent="0.25"/>
  <cols>
    <col min="2" max="2" width="26.42578125" customWidth="1"/>
    <col min="3" max="3" width="33.85546875" bestFit="1" customWidth="1"/>
    <col min="4" max="4" width="14" bestFit="1" customWidth="1"/>
  </cols>
  <sheetData>
    <row r="1" spans="1:7" ht="25.5" customHeight="1" x14ac:dyDescent="0.3">
      <c r="A1">
        <v>1</v>
      </c>
      <c r="B1" s="5" t="s">
        <v>25</v>
      </c>
      <c r="C1" s="2" t="s">
        <v>16</v>
      </c>
      <c r="D1" t="s">
        <v>17</v>
      </c>
    </row>
    <row r="2" spans="1:7" x14ac:dyDescent="0.25">
      <c r="B2" s="4" t="s">
        <v>1</v>
      </c>
      <c r="C2" s="3" t="s">
        <v>11</v>
      </c>
      <c r="D2" s="3" t="s">
        <v>13</v>
      </c>
    </row>
    <row r="3" spans="1:7" x14ac:dyDescent="0.25">
      <c r="B3" s="1" t="s">
        <v>3</v>
      </c>
      <c r="C3" t="s">
        <v>12</v>
      </c>
      <c r="D3" t="s">
        <v>14</v>
      </c>
    </row>
    <row r="4" spans="1:7" x14ac:dyDescent="0.25">
      <c r="B4" s="1" t="s">
        <v>5</v>
      </c>
      <c r="C4" t="s">
        <v>13</v>
      </c>
      <c r="D4" t="s">
        <v>15</v>
      </c>
    </row>
    <row r="5" spans="1:7" x14ac:dyDescent="0.25">
      <c r="B5" s="1" t="s">
        <v>7</v>
      </c>
    </row>
    <row r="9" spans="1:7" ht="18.75" x14ac:dyDescent="0.3">
      <c r="A9">
        <v>2</v>
      </c>
      <c r="B9" t="s">
        <v>65</v>
      </c>
      <c r="C9" s="2" t="s">
        <v>24</v>
      </c>
      <c r="D9" s="26" t="s">
        <v>21</v>
      </c>
      <c r="G9" t="s">
        <v>67</v>
      </c>
    </row>
    <row r="10" spans="1:7" x14ac:dyDescent="0.25">
      <c r="B10" s="1" t="s">
        <v>18</v>
      </c>
      <c r="C10" s="1" t="s">
        <v>23</v>
      </c>
    </row>
    <row r="11" spans="1:7" x14ac:dyDescent="0.25">
      <c r="B11" s="1" t="s">
        <v>19</v>
      </c>
      <c r="C11" s="7" t="s">
        <v>66</v>
      </c>
    </row>
    <row r="12" spans="1:7" x14ac:dyDescent="0.25">
      <c r="B12" s="1" t="s">
        <v>20</v>
      </c>
      <c r="C12" s="1" t="s">
        <v>22</v>
      </c>
    </row>
    <row r="13" spans="1:7" x14ac:dyDescent="0.25">
      <c r="B13" s="1"/>
      <c r="C13" s="1"/>
    </row>
    <row r="14" spans="1:7" x14ac:dyDescent="0.25">
      <c r="B14" s="1"/>
      <c r="C14" s="1"/>
    </row>
    <row r="15" spans="1:7" x14ac:dyDescent="0.25">
      <c r="B15" s="1"/>
      <c r="C15" s="1"/>
    </row>
    <row r="16" spans="1:7" x14ac:dyDescent="0.25">
      <c r="B16" s="1"/>
      <c r="C16" s="1"/>
    </row>
    <row r="17" spans="1:19" x14ac:dyDescent="0.25">
      <c r="C17" s="6"/>
    </row>
    <row r="20" spans="1:19" ht="45.75" customHeight="1" x14ac:dyDescent="0.35">
      <c r="A20">
        <v>3</v>
      </c>
      <c r="B20" s="9" t="s">
        <v>28</v>
      </c>
      <c r="C20" s="8" t="s">
        <v>27</v>
      </c>
      <c r="F20" s="74" t="s">
        <v>29</v>
      </c>
      <c r="G20" s="74"/>
      <c r="H20" s="74"/>
      <c r="I20" s="74"/>
      <c r="J20" s="74"/>
      <c r="K20" s="74"/>
      <c r="L20" s="74"/>
      <c r="M20" s="74"/>
      <c r="N20" s="74"/>
      <c r="O20" s="74"/>
      <c r="P20" s="74"/>
      <c r="Q20" s="74"/>
      <c r="R20" s="74"/>
      <c r="S20" s="74"/>
    </row>
    <row r="21" spans="1:19" x14ac:dyDescent="0.25">
      <c r="B21" t="s">
        <v>31</v>
      </c>
      <c r="C21" t="str" cm="1">
        <f t="array" ref="C21:D21">splt(B21)</f>
        <v>Lisa</v>
      </c>
      <c r="D21" t="str">
        <v>Rai</v>
      </c>
    </row>
    <row r="22" spans="1:19" x14ac:dyDescent="0.25">
      <c r="B22" t="s">
        <v>32</v>
      </c>
      <c r="C22" t="str" cm="1">
        <f t="array" ref="C22:D22">splt(B22)</f>
        <v>Mimi</v>
      </c>
      <c r="D22" t="str">
        <v>Rai</v>
      </c>
    </row>
    <row r="23" spans="1:19" x14ac:dyDescent="0.25">
      <c r="B23" t="s">
        <v>30</v>
      </c>
      <c r="C23" t="str" cm="1">
        <f t="array" ref="C23:D23">splt(B23)</f>
        <v>Prakash</v>
      </c>
      <c r="D23" t="str">
        <v>Rai</v>
      </c>
    </row>
    <row r="24" spans="1:19" x14ac:dyDescent="0.25">
      <c r="B24" t="s">
        <v>26</v>
      </c>
      <c r="C24" t="str" cm="1">
        <f t="array" ref="C24:D24">splt(B24)</f>
        <v>Sumita</v>
      </c>
      <c r="D24" t="str">
        <v>Rai</v>
      </c>
    </row>
    <row r="37" spans="1:4" x14ac:dyDescent="0.25">
      <c r="D37" t="s">
        <v>33</v>
      </c>
    </row>
    <row r="38" spans="1:4" x14ac:dyDescent="0.25">
      <c r="B38">
        <v>523</v>
      </c>
      <c r="C38">
        <v>235</v>
      </c>
      <c r="D38">
        <f>B38-C38</f>
        <v>288</v>
      </c>
    </row>
    <row r="39" spans="1:4" x14ac:dyDescent="0.25">
      <c r="B39">
        <v>256</v>
      </c>
      <c r="C39">
        <v>582</v>
      </c>
      <c r="D39">
        <f>B39-C39</f>
        <v>-326</v>
      </c>
    </row>
    <row r="40" spans="1:4" x14ac:dyDescent="0.25">
      <c r="B40">
        <v>100</v>
      </c>
      <c r="C40">
        <v>124</v>
      </c>
      <c r="D40">
        <f>B40-C40</f>
        <v>-24</v>
      </c>
    </row>
    <row r="41" spans="1:4" x14ac:dyDescent="0.25">
      <c r="B41">
        <v>250</v>
      </c>
      <c r="C41">
        <v>352</v>
      </c>
      <c r="D41">
        <f>B41-C41</f>
        <v>-102</v>
      </c>
    </row>
    <row r="42" spans="1:4" x14ac:dyDescent="0.25">
      <c r="A42" s="10" t="s">
        <v>35</v>
      </c>
      <c r="B42" s="3">
        <f>SUM(B38:B41)</f>
        <v>1129</v>
      </c>
    </row>
  </sheetData>
  <sortState xmlns:xlrd2="http://schemas.microsoft.com/office/spreadsheetml/2017/richdata2" ref="A21:D24">
    <sortCondition ref="B21:B24"/>
  </sortState>
  <mergeCells count="1">
    <mergeCell ref="F20:S20"/>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252B18-D5C8-4EBE-9EA6-25589EF91496}">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Excel Basics</vt:lpstr>
      <vt:lpstr>Pivot Table and Chart</vt:lpstr>
      <vt:lpstr>shortcuts</vt:lpstr>
      <vt:lpstr>Sheet3</vt:lpstr>
    </vt:vector>
  </TitlesOfParts>
  <Company>Shane 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Sumita Rai</dc:creator>
  <cp:lastModifiedBy>Sumita Rai</cp:lastModifiedBy>
  <dcterms:created xsi:type="dcterms:W3CDTF">2019-11-08T17:32:44Z</dcterms:created>
  <dcterms:modified xsi:type="dcterms:W3CDTF">2024-01-30T04:26:17Z</dcterms:modified>
</cp:coreProperties>
</file>