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mc:AlternateContent xmlns:mc="http://schemas.openxmlformats.org/markup-compatibility/2006">
    <mc:Choice Requires="x15">
      <x15ac:absPath xmlns:x15ac="http://schemas.microsoft.com/office/spreadsheetml/2010/11/ac" url="C:\Work\HandsOn\HealthDB\"/>
    </mc:Choice>
  </mc:AlternateContent>
  <xr:revisionPtr revIDLastSave="0" documentId="13_ncr:1_{EF7D3A7C-5BA6-489C-A7C5-D184D7270908}" xr6:coauthVersionLast="47" xr6:coauthVersionMax="47" xr10:uidLastSave="{00000000-0000-0000-0000-000000000000}"/>
  <bookViews>
    <workbookView xWindow="28680" yWindow="-1620" windowWidth="29040" windowHeight="15840" firstSheet="1" activeTab="1" xr2:uid="{00000000-000D-0000-FFFF-FFFF00000000}"/>
  </bookViews>
  <sheets>
    <sheet name="Sheet1" sheetId="1" state="hidden" r:id="rId1"/>
    <sheet name="Excel Basics" sheetId="5" r:id="rId2"/>
    <sheet name="Pivot Table and Chart" sheetId="4" r:id="rId3"/>
    <sheet name="Conditional Formatting" sheetId="9" r:id="rId4"/>
    <sheet name="Excel Functions" sheetId="10" r:id="rId5"/>
    <sheet name="StateCode" sheetId="11" r:id="rId6"/>
    <sheet name="shortcuts" sheetId="2" r:id="rId7"/>
  </sheets>
  <functionGroups builtInGroupCount="19"/>
  <definedNames>
    <definedName name="_xlnm._FilterDatabase" localSheetId="1" hidden="1">'Excel Basics'!$A$31:$N$73</definedName>
    <definedName name="_xlnm._FilterDatabase" localSheetId="2" hidden="1">'Pivot Table and Chart'!$A$3:$G$3</definedName>
  </definedNames>
  <calcPr calcId="191029"/>
  <pivotCaches>
    <pivotCache cacheId="0" r:id="rId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14" i="10" l="1" a="1"/>
  <c r="C114" i="10" s="1"/>
  <c r="F9" i="10"/>
  <c r="F10" i="10"/>
  <c r="F11" i="10"/>
  <c r="F12" i="10"/>
  <c r="F5" i="10"/>
  <c r="F6" i="10"/>
  <c r="F7" i="10"/>
  <c r="F8" i="10"/>
  <c r="F4" i="10"/>
  <c r="C111" i="10"/>
  <c r="C103" i="10"/>
  <c r="C109" i="10"/>
  <c r="C107" i="10"/>
  <c r="C105" i="10"/>
  <c r="E104" i="10"/>
  <c r="E105" i="10"/>
  <c r="E103" i="10"/>
  <c r="G82" i="10"/>
  <c r="G83" i="10"/>
  <c r="G84" i="10"/>
  <c r="G85" i="10"/>
  <c r="G86" i="10"/>
  <c r="G87" i="10"/>
  <c r="G88" i="10"/>
  <c r="G89" i="10"/>
  <c r="G81" i="10"/>
  <c r="F82" i="10"/>
  <c r="F83" i="10"/>
  <c r="F84" i="10"/>
  <c r="F85" i="10"/>
  <c r="F86" i="10"/>
  <c r="F87" i="10"/>
  <c r="F88" i="10"/>
  <c r="F89" i="10"/>
  <c r="F81" i="10"/>
  <c r="E93" i="10" a="1"/>
  <c r="E93" i="10" s="1"/>
  <c r="D93" i="10"/>
  <c r="D94" i="10"/>
  <c r="D95" i="10"/>
  <c r="D96" i="10"/>
  <c r="D97" i="10"/>
  <c r="D98" i="10"/>
  <c r="D99" i="10"/>
  <c r="D100" i="10"/>
  <c r="D101" i="10"/>
  <c r="E82" i="10"/>
  <c r="E83" i="10"/>
  <c r="E84" i="10"/>
  <c r="E85" i="10"/>
  <c r="E86" i="10"/>
  <c r="E87" i="10"/>
  <c r="E88" i="10"/>
  <c r="E89" i="10"/>
  <c r="E81" i="10"/>
  <c r="D82" i="10"/>
  <c r="D83" i="10"/>
  <c r="D84" i="10"/>
  <c r="D85" i="10"/>
  <c r="D86" i="10"/>
  <c r="D87" i="10"/>
  <c r="D88" i="10"/>
  <c r="D89" i="10"/>
  <c r="D81" i="10"/>
  <c r="B81" i="10" a="1"/>
  <c r="B81" i="10" s="1"/>
  <c r="E70" i="10" a="1"/>
  <c r="E70" i="10" s="1"/>
  <c r="E71" i="10" a="1"/>
  <c r="E71" i="10" s="1"/>
  <c r="E72" i="10" a="1"/>
  <c r="E72" i="10" s="1"/>
  <c r="E73" i="10" a="1"/>
  <c r="E73" i="10"/>
  <c r="E74" i="10" a="1"/>
  <c r="E74" i="10"/>
  <c r="E75" i="10" a="1"/>
  <c r="E75" i="10" s="1"/>
  <c r="E76" i="10" a="1"/>
  <c r="E76" i="10" s="1"/>
  <c r="E77" i="10" a="1"/>
  <c r="E77" i="10" s="1"/>
  <c r="E69" i="10" a="1"/>
  <c r="E69" i="10" s="1"/>
  <c r="L62" i="10"/>
  <c r="L63" i="10"/>
  <c r="L54" i="10"/>
  <c r="L55" i="10"/>
  <c r="L56" i="10"/>
  <c r="L57" i="10"/>
  <c r="L58" i="10"/>
  <c r="L59" i="10"/>
  <c r="L60" i="10"/>
  <c r="F62" i="10"/>
  <c r="F58" i="10"/>
  <c r="F56" i="10"/>
  <c r="D70" i="10"/>
  <c r="D71" i="10"/>
  <c r="D72" i="10"/>
  <c r="D73" i="10"/>
  <c r="D74" i="10"/>
  <c r="D75" i="10"/>
  <c r="D76" i="10"/>
  <c r="D77" i="10"/>
  <c r="D69" i="10"/>
  <c r="B64" i="10"/>
  <c r="B61" i="10"/>
  <c r="B60" i="10"/>
  <c r="B57" i="10"/>
  <c r="B56" i="10"/>
  <c r="B55" i="10"/>
  <c r="B59" i="10"/>
  <c r="B58" i="10"/>
  <c r="B62" i="10"/>
  <c r="B63" i="10"/>
  <c r="E32" i="10"/>
  <c r="E33" i="10" s="1"/>
  <c r="E34" i="10" s="1"/>
  <c r="E35" i="10" s="1"/>
  <c r="E36" i="10" s="1"/>
  <c r="E37" i="10" s="1"/>
  <c r="E38" i="10" s="1"/>
  <c r="E39" i="10" s="1"/>
  <c r="E40" i="10" s="1"/>
  <c r="E41" i="10" s="1"/>
  <c r="E42" i="10" s="1"/>
  <c r="E43" i="10" s="1"/>
  <c r="E44" i="10" s="1"/>
  <c r="E45" i="10" s="1"/>
  <c r="E46" i="10" s="1"/>
  <c r="E47" i="10" s="1"/>
  <c r="E48" i="10" s="1"/>
  <c r="E49" i="10" s="1"/>
  <c r="E50" i="10" s="1"/>
  <c r="D31" i="10"/>
  <c r="D32" i="10"/>
  <c r="D33" i="10"/>
  <c r="D34" i="10"/>
  <c r="D35" i="10"/>
  <c r="D36" i="10"/>
  <c r="D37" i="10"/>
  <c r="D38" i="10"/>
  <c r="D39" i="10"/>
  <c r="D40" i="10"/>
  <c r="D41" i="10"/>
  <c r="D42" i="10"/>
  <c r="D43" i="10"/>
  <c r="D44" i="10"/>
  <c r="D45" i="10"/>
  <c r="D46" i="10"/>
  <c r="D47" i="10"/>
  <c r="D48" i="10"/>
  <c r="D49" i="10"/>
  <c r="D50" i="10"/>
  <c r="L12" i="10"/>
  <c r="L13" i="10"/>
  <c r="L14" i="10"/>
  <c r="L5" i="10"/>
  <c r="L6" i="10"/>
  <c r="L7" i="10"/>
  <c r="L8" i="10"/>
  <c r="L9" i="10"/>
  <c r="L4" i="10"/>
  <c r="E19" i="10"/>
  <c r="E20" i="10"/>
  <c r="E21" i="10"/>
  <c r="E22" i="10"/>
  <c r="E23" i="10"/>
  <c r="E24" i="10"/>
  <c r="E25" i="10"/>
  <c r="E26" i="10"/>
  <c r="E18" i="10"/>
  <c r="E5" i="10"/>
  <c r="E6" i="10"/>
  <c r="E7" i="10"/>
  <c r="E8" i="10"/>
  <c r="E9" i="10"/>
  <c r="E10" i="10"/>
  <c r="E11" i="10"/>
  <c r="E12" i="10"/>
  <c r="E4" i="10"/>
  <c r="D18" i="10"/>
  <c r="D19" i="10"/>
  <c r="D20" i="10"/>
  <c r="D21" i="10"/>
  <c r="D22" i="10"/>
  <c r="D23" i="10"/>
  <c r="D24" i="10"/>
  <c r="D25" i="10"/>
  <c r="D26" i="10"/>
  <c r="D5" i="10"/>
  <c r="D6" i="10"/>
  <c r="D7" i="10"/>
  <c r="D8" i="10"/>
  <c r="D9" i="10"/>
  <c r="D10" i="10"/>
  <c r="D11" i="10"/>
  <c r="D12" i="10"/>
  <c r="D4" i="10"/>
  <c r="D84" i="9"/>
  <c r="D82" i="9"/>
  <c r="D81" i="9"/>
  <c r="E74" i="9"/>
  <c r="E75" i="9"/>
  <c r="E76" i="9"/>
  <c r="E77" i="9"/>
  <c r="E78" i="9"/>
  <c r="E79" i="9"/>
  <c r="E73" i="9"/>
  <c r="E67" i="9"/>
  <c r="G44" i="4"/>
  <c r="G43" i="4"/>
  <c r="G42" i="4"/>
  <c r="G41" i="4"/>
  <c r="G40" i="4"/>
  <c r="G39" i="4"/>
  <c r="G38" i="4"/>
  <c r="G37" i="4"/>
  <c r="G36" i="4"/>
  <c r="G35" i="4"/>
  <c r="G34" i="4"/>
  <c r="G33" i="4"/>
  <c r="G32" i="4"/>
  <c r="G31" i="4"/>
  <c r="G30" i="4"/>
  <c r="G29" i="4"/>
  <c r="G28" i="4"/>
  <c r="G27" i="4"/>
  <c r="G26" i="4"/>
  <c r="G25" i="4"/>
  <c r="G24" i="4"/>
  <c r="G23" i="4"/>
  <c r="G22" i="4"/>
  <c r="G21" i="4"/>
  <c r="G20" i="4"/>
  <c r="G19" i="4"/>
  <c r="G18" i="4"/>
  <c r="G17" i="4"/>
  <c r="G16" i="4"/>
  <c r="G15" i="4"/>
  <c r="G14" i="4"/>
  <c r="G13" i="4"/>
  <c r="G12" i="4"/>
  <c r="G11" i="4"/>
  <c r="G10" i="4"/>
  <c r="G9" i="4"/>
  <c r="G8" i="4"/>
  <c r="G7" i="4"/>
  <c r="G6" i="4"/>
  <c r="G5" i="4"/>
  <c r="G4" i="4"/>
  <c r="G3" i="4"/>
  <c r="G2" i="4"/>
  <c r="F9" i="5" l="1"/>
  <c r="D8" i="5"/>
  <c r="B42" i="2"/>
  <c r="D39" i="2" l="1"/>
  <c r="D40" i="2"/>
  <c r="D41" i="2"/>
  <c r="D38" i="2"/>
  <c r="C22" i="2" a="1"/>
  <c r="C21" i="2" a="1"/>
  <c r="C24" i="2" a="1"/>
  <c r="C23" i="2" a="1"/>
  <c r="C21" i="2" l="1"/>
  <c r="C23" i="2"/>
  <c r="C22" i="2"/>
  <c r="C24"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<sst xmlns="http://schemas.openxmlformats.org/spreadsheetml/2006/main" count="723" uniqueCount="407">
  <si>
    <t>Excel's Business Intelligence</t>
  </si>
  <si>
    <t>Raw Data</t>
  </si>
  <si>
    <t>File, Excel tables, DB(SQL, Azure)</t>
  </si>
  <si>
    <t>Power Query</t>
  </si>
  <si>
    <t>aka Get &amp; Transform</t>
  </si>
  <si>
    <t>Data Model</t>
  </si>
  <si>
    <t>Create Table relationships</t>
  </si>
  <si>
    <t>Power Pivot &amp; DAX</t>
  </si>
  <si>
    <t>Explore and analyze the entire data model</t>
  </si>
  <si>
    <t xml:space="preserve">DAX </t>
  </si>
  <si>
    <t>Data Analysis Experssions</t>
  </si>
  <si>
    <t>Raw</t>
  </si>
  <si>
    <t>Power</t>
  </si>
  <si>
    <t>Data</t>
  </si>
  <si>
    <t>Query</t>
  </si>
  <si>
    <t>Model</t>
  </si>
  <si>
    <t>Ctrl E</t>
  </si>
  <si>
    <t>on second row</t>
  </si>
  <si>
    <t>English</t>
  </si>
  <si>
    <t>Happy Thanksgiving</t>
  </si>
  <si>
    <t>I love my grandma</t>
  </si>
  <si>
    <t>=GOOGLETRANSLATE(B12,"en","fr")</t>
  </si>
  <si>
    <t>मैं अपनी दादी से प्यार करता हूं</t>
  </si>
  <si>
    <t>Hindi</t>
  </si>
  <si>
    <t>Review &gt;&gt; Translate</t>
  </si>
  <si>
    <t xml:space="preserve">Enter </t>
  </si>
  <si>
    <t>Sumita Rai</t>
  </si>
  <si>
    <t>=SPLT(B21)</t>
  </si>
  <si>
    <t>Create a splt function using Visual Basic Code</t>
  </si>
  <si>
    <t>View Code &gt;&gt; Current Workbook &gt;&gt; Insert &gt;&gt; Module &gt;&gt;  Create a Function</t>
  </si>
  <si>
    <t>Prakash Rai</t>
  </si>
  <si>
    <t>Lisa Rai</t>
  </si>
  <si>
    <t>Mimi Rai</t>
  </si>
  <si>
    <t>Net Profit</t>
  </si>
  <si>
    <t>Total</t>
  </si>
  <si>
    <t>ATL =</t>
  </si>
  <si>
    <t>OrderDate</t>
  </si>
  <si>
    <t>Region</t>
  </si>
  <si>
    <t>Rep</t>
  </si>
  <si>
    <t>Item</t>
  </si>
  <si>
    <t>Units</t>
  </si>
  <si>
    <t>Unit Cost</t>
  </si>
  <si>
    <t>Central</t>
  </si>
  <si>
    <t>Kivell</t>
  </si>
  <si>
    <t>Binder</t>
  </si>
  <si>
    <t>Jardine</t>
  </si>
  <si>
    <t>Pencil</t>
  </si>
  <si>
    <t>Gill</t>
  </si>
  <si>
    <t>Pen</t>
  </si>
  <si>
    <t>Andrews</t>
  </si>
  <si>
    <t>Morgan</t>
  </si>
  <si>
    <t>Smith</t>
  </si>
  <si>
    <t>Desk</t>
  </si>
  <si>
    <t>Pen Set</t>
  </si>
  <si>
    <t>East</t>
  </si>
  <si>
    <t>Jones</t>
  </si>
  <si>
    <t>Howard</t>
  </si>
  <si>
    <t>Parent</t>
  </si>
  <si>
    <t>West</t>
  </si>
  <si>
    <t>Sorvino</t>
  </si>
  <si>
    <t>Thompson</t>
  </si>
  <si>
    <t>Row Labels</t>
  </si>
  <si>
    <t>Grand Total</t>
  </si>
  <si>
    <t>Sum of Total</t>
  </si>
  <si>
    <t>Click the cell and then</t>
  </si>
  <si>
    <t>हैप्पी थैंक्सगिविंग</t>
  </si>
  <si>
    <t>or click Translate from the ribbon</t>
  </si>
  <si>
    <r>
      <t>hotkey</t>
    </r>
    <r>
      <rPr>
        <b/>
        <sz val="12"/>
        <color theme="1"/>
        <rFont val="Calibri"/>
        <family val="2"/>
        <scheme val="minor"/>
      </rPr>
      <t xml:space="preserve"> Shift + F11</t>
    </r>
    <r>
      <rPr>
        <sz val="11"/>
        <color theme="1"/>
        <rFont val="Calibri"/>
        <family val="2"/>
        <scheme val="minor"/>
      </rPr>
      <t xml:space="preserve"> to create new sheets</t>
    </r>
  </si>
  <si>
    <r>
      <rPr>
        <b/>
        <sz val="11"/>
        <color theme="1"/>
        <rFont val="Calibri"/>
        <family val="2"/>
        <scheme val="minor"/>
      </rPr>
      <t>Ribbon</t>
    </r>
    <r>
      <rPr>
        <sz val="11"/>
        <color theme="1"/>
        <rFont val="Calibri"/>
        <family val="2"/>
        <scheme val="minor"/>
      </rPr>
      <t>: used to navigate and access commands. The Ribbon is made up by the App launcher, Tabs, Groups and Commands. In this section we will explain the different parts of the Ribbon.</t>
    </r>
  </si>
  <si>
    <r>
      <rPr>
        <b/>
        <sz val="11"/>
        <color theme="1"/>
        <rFont val="Calibri"/>
        <family val="2"/>
        <scheme val="minor"/>
      </rPr>
      <t>Sheet</t>
    </r>
    <r>
      <rPr>
        <sz val="11"/>
        <color theme="1"/>
        <rFont val="Calibri"/>
        <family val="2"/>
        <scheme val="minor"/>
      </rPr>
      <t>: columns and rows make cells. The reference of the cell is its coordinates. For example, C4 has the coordinates of column C and row 4. You find the cell in the intersection of the two. The letter is always the column and the number is always the row.</t>
    </r>
  </si>
  <si>
    <r>
      <rPr>
        <b/>
        <sz val="12"/>
        <color theme="1"/>
        <rFont val="Calibri"/>
        <family val="2"/>
        <scheme val="minor"/>
      </rPr>
      <t xml:space="preserve">Excel Syntax: </t>
    </r>
    <r>
      <rPr>
        <sz val="12"/>
        <color theme="1"/>
        <rFont val="Calibri"/>
        <family val="2"/>
        <scheme val="minor"/>
      </rPr>
      <t>A formula in Excel is used to do mathematical calculations. Formulas always start with the equal sign = typed in the cell, followed by your calculation.</t>
    </r>
  </si>
  <si>
    <r>
      <t xml:space="preserve">Excel is made of two components: </t>
    </r>
    <r>
      <rPr>
        <b/>
        <sz val="11"/>
        <color theme="1"/>
        <rFont val="Calibri"/>
        <family val="2"/>
        <scheme val="minor"/>
      </rPr>
      <t>Ribbon and Sheet</t>
    </r>
  </si>
  <si>
    <t>=1+1</t>
  </si>
  <si>
    <t>Type the equal sign (=) and then enter numeric value1 , arithemetic operator and numeric value2</t>
  </si>
  <si>
    <t>F7 (=D7-E7)</t>
  </si>
  <si>
    <t>Select cell F7 &gt; Type the equal sign (=) and then click D7 cell,  arithemetic operator and E7 cell &gt; Enter</t>
  </si>
  <si>
    <t>Note: You can make formulas with all four arithmetic operations, such as addition (+), subtraction (-), multiplication (*) and division (/).</t>
  </si>
  <si>
    <r>
      <rPr>
        <b/>
        <sz val="12"/>
        <color theme="1"/>
        <rFont val="Calibri"/>
        <family val="2"/>
        <scheme val="minor"/>
      </rPr>
      <t>Excel Ranges:</t>
    </r>
    <r>
      <rPr>
        <b/>
        <sz val="11"/>
        <color theme="1"/>
        <rFont val="Calibri"/>
        <family val="2"/>
        <scheme val="minor"/>
      </rPr>
      <t xml:space="preserve"> </t>
    </r>
    <r>
      <rPr>
        <sz val="11"/>
        <color theme="1"/>
        <rFont val="Calibri"/>
        <family val="2"/>
        <scheme val="minor"/>
      </rPr>
      <t>Range is an important part of Excel because it allows you to work with selections of cells</t>
    </r>
  </si>
  <si>
    <r>
      <rPr>
        <b/>
        <sz val="11"/>
        <color theme="1"/>
        <rFont val="Calibri"/>
        <family val="2"/>
        <scheme val="minor"/>
      </rPr>
      <t xml:space="preserve">Selecting Multiple Cells: </t>
    </r>
    <r>
      <rPr>
        <sz val="11"/>
        <color theme="1"/>
        <rFont val="Calibri"/>
        <family val="2"/>
        <scheme val="minor"/>
      </rPr>
      <t xml:space="preserve">More than one cell can be selected by pressing and holding down </t>
    </r>
    <r>
      <rPr>
        <b/>
        <sz val="11"/>
        <color theme="1"/>
        <rFont val="Calibri"/>
        <family val="2"/>
        <scheme val="minor"/>
      </rPr>
      <t>CTRL or Command and left clicking the cells</t>
    </r>
    <r>
      <rPr>
        <sz val="11"/>
        <color theme="1"/>
        <rFont val="Calibri"/>
        <family val="2"/>
        <scheme val="minor"/>
      </rPr>
      <t>. Once finished with selecting, you can let go of CTRL or Command.</t>
    </r>
  </si>
  <si>
    <r>
      <t xml:space="preserve">Type the range Column A, Row 1 : Column E, Row 10 &gt;&gt; </t>
    </r>
    <r>
      <rPr>
        <b/>
        <sz val="11"/>
        <color theme="1"/>
        <rFont val="Calibri"/>
        <family val="2"/>
        <scheme val="minor"/>
      </rPr>
      <t>A1:E10</t>
    </r>
  </si>
  <si>
    <r>
      <t xml:space="preserve">Tip: You can cut using the hotkey </t>
    </r>
    <r>
      <rPr>
        <b/>
        <sz val="12"/>
        <color theme="1"/>
        <rFont val="Calibri"/>
        <family val="2"/>
        <scheme val="minor"/>
      </rPr>
      <t>CTRL+X</t>
    </r>
    <r>
      <rPr>
        <sz val="11"/>
        <color theme="1"/>
        <rFont val="Calibri"/>
        <family val="2"/>
        <scheme val="minor"/>
      </rPr>
      <t xml:space="preserve">, or copy using  </t>
    </r>
    <r>
      <rPr>
        <b/>
        <sz val="12"/>
        <color theme="1"/>
        <rFont val="Calibri"/>
        <family val="2"/>
        <scheme val="minor"/>
      </rPr>
      <t xml:space="preserve">CTRL+C </t>
    </r>
    <r>
      <rPr>
        <sz val="11"/>
        <color theme="1"/>
        <rFont val="Calibri"/>
        <family val="2"/>
        <scheme val="minor"/>
      </rPr>
      <t xml:space="preserve">and paste by </t>
    </r>
    <r>
      <rPr>
        <b/>
        <sz val="12"/>
        <color theme="1"/>
        <rFont val="Calibri"/>
        <family val="2"/>
        <scheme val="minor"/>
      </rPr>
      <t>CTRL+V</t>
    </r>
    <r>
      <rPr>
        <sz val="11"/>
        <color theme="1"/>
        <rFont val="Calibri"/>
        <family val="2"/>
        <scheme val="minor"/>
      </rPr>
      <t>. This saves you time.</t>
    </r>
  </si>
  <si>
    <r>
      <t xml:space="preserve">Excel Move Cells </t>
    </r>
    <r>
      <rPr>
        <sz val="11"/>
        <color theme="1"/>
        <rFont val="Calibri"/>
        <family val="2"/>
        <scheme val="minor"/>
      </rPr>
      <t xml:space="preserve">&gt;&gt; There are two ways to move cells: </t>
    </r>
    <r>
      <rPr>
        <b/>
        <sz val="11"/>
        <color theme="1"/>
        <rFont val="Calibri"/>
        <family val="2"/>
        <scheme val="minor"/>
      </rPr>
      <t xml:space="preserve"> Copy and paste or by Drag and drop.</t>
    </r>
  </si>
  <si>
    <t>Drag and drop &gt;&gt; Select the cell range that need to move. Hover over the selected range until the mouse cursor change the symbol and then drag and drop by pressing and holding left mouse button to the cell you want to drop.</t>
  </si>
  <si>
    <r>
      <rPr>
        <b/>
        <sz val="12"/>
        <color theme="1"/>
        <rFont val="Calibri"/>
        <family val="2"/>
        <scheme val="minor"/>
      </rPr>
      <t xml:space="preserve">Double Click: </t>
    </r>
    <r>
      <rPr>
        <sz val="11"/>
        <color theme="1"/>
        <rFont val="Calibri"/>
        <family val="2"/>
        <scheme val="minor"/>
      </rPr>
      <t xml:space="preserve">The </t>
    </r>
    <r>
      <rPr>
        <b/>
        <sz val="11"/>
        <color theme="1"/>
        <rFont val="Calibri"/>
        <family val="2"/>
        <scheme val="minor"/>
      </rPr>
      <t>fill function</t>
    </r>
    <r>
      <rPr>
        <sz val="11"/>
        <color theme="1"/>
        <rFont val="Calibri"/>
        <family val="2"/>
        <scheme val="minor"/>
      </rPr>
      <t xml:space="preserve"> can be</t>
    </r>
    <r>
      <rPr>
        <sz val="11"/>
        <color rgb="FFFF0000"/>
        <rFont val="Calibri"/>
        <family val="2"/>
        <scheme val="minor"/>
      </rPr>
      <t xml:space="preserve"> </t>
    </r>
    <r>
      <rPr>
        <b/>
        <sz val="11"/>
        <color rgb="FFFF0000"/>
        <rFont val="Calibri"/>
        <family val="2"/>
        <scheme val="minor"/>
      </rPr>
      <t>double clicked</t>
    </r>
    <r>
      <rPr>
        <sz val="11"/>
        <color theme="1"/>
        <rFont val="Calibri"/>
        <family val="2"/>
        <scheme val="minor"/>
      </rPr>
      <t xml:space="preserve"> to complete formulas in a range. For the double click to work it has to see a recognizable pattern.
For example: by using headers, or with the formulas in the columns or rows next to the data.
Adding headers helped the function to understand the relationship between the data.</t>
    </r>
  </si>
  <si>
    <t>EXCEL TUTORIALS</t>
  </si>
  <si>
    <r>
      <t xml:space="preserve">keyboard shortcut for the Undo command &gt; </t>
    </r>
    <r>
      <rPr>
        <b/>
        <sz val="11"/>
        <color theme="1"/>
        <rFont val="Calibri"/>
        <family val="2"/>
        <scheme val="minor"/>
      </rPr>
      <t>CTRL + Z (Windows) / Command+Z (MAC)</t>
    </r>
  </si>
  <si>
    <r>
      <t xml:space="preserve">keyboard shortcut for the Redo command &gt; </t>
    </r>
    <r>
      <rPr>
        <b/>
        <sz val="11"/>
        <color theme="1"/>
        <rFont val="Calibri"/>
        <family val="2"/>
        <scheme val="minor"/>
      </rPr>
      <t>CTRL + Y (Windows) / Command + Y (MAC)</t>
    </r>
  </si>
  <si>
    <r>
      <t xml:space="preserve">Values used in formulas can be typed directly or by using cells. The formula updates the result if the value of cells changes. The fill function can be used to continue your formulas upwards, downwards and sidewards. Excel has pre-built SUM functions, such as </t>
    </r>
    <r>
      <rPr>
        <sz val="11"/>
        <color rgb="FFFF0000"/>
        <rFont val="Calibri"/>
        <family val="2"/>
        <scheme val="minor"/>
      </rPr>
      <t>=</t>
    </r>
    <r>
      <rPr>
        <b/>
        <sz val="11"/>
        <color rgb="FFFF0000"/>
        <rFont val="Calibri"/>
        <family val="2"/>
        <scheme val="minor"/>
      </rPr>
      <t>SUM(E1:E4) or =SUM(25;15;5)</t>
    </r>
  </si>
  <si>
    <r>
      <rPr>
        <b/>
        <sz val="11"/>
        <color theme="1"/>
        <rFont val="Calibri"/>
        <family val="2"/>
        <scheme val="minor"/>
      </rPr>
      <t>Excel References</t>
    </r>
    <r>
      <rPr>
        <sz val="11"/>
        <color theme="1"/>
        <rFont val="Calibri"/>
        <family val="2"/>
        <scheme val="minor"/>
      </rPr>
      <t xml:space="preserve">: Excel has two types of references </t>
    </r>
    <r>
      <rPr>
        <b/>
        <sz val="11"/>
        <color theme="1"/>
        <rFont val="Calibri"/>
        <family val="2"/>
        <scheme val="minor"/>
      </rPr>
      <t>Relative and Absolute References</t>
    </r>
  </si>
  <si>
    <r>
      <rPr>
        <b/>
        <sz val="11"/>
        <color theme="1"/>
        <rFont val="Calibri"/>
        <family val="2"/>
        <scheme val="minor"/>
      </rPr>
      <t xml:space="preserve">Absolute References </t>
    </r>
    <r>
      <rPr>
        <sz val="11"/>
        <color theme="1"/>
        <rFont val="Calibri"/>
        <family val="2"/>
        <scheme val="minor"/>
      </rPr>
      <t xml:space="preserve">&gt;&gt; References use dollar sign ($). It locks a reference in the formula. 
- Absolute for column and row. The reference is absolutely locked. Example: </t>
    </r>
    <r>
      <rPr>
        <b/>
        <sz val="11"/>
        <color theme="1"/>
        <rFont val="Calibri"/>
        <family val="2"/>
        <scheme val="minor"/>
      </rPr>
      <t xml:space="preserve">=$A$1
- </t>
    </r>
    <r>
      <rPr>
        <sz val="11"/>
        <color theme="1"/>
        <rFont val="Calibri"/>
        <family val="2"/>
        <scheme val="minor"/>
      </rPr>
      <t xml:space="preserve">Absolute for the column. The reference is locked to that column. The row remains relative. Example </t>
    </r>
    <r>
      <rPr>
        <b/>
        <sz val="11"/>
        <color theme="1"/>
        <rFont val="Calibri"/>
        <family val="2"/>
        <scheme val="minor"/>
      </rPr>
      <t>=$A1</t>
    </r>
    <r>
      <rPr>
        <sz val="11"/>
        <color theme="1"/>
        <rFont val="Calibri"/>
        <family val="2"/>
        <scheme val="minor"/>
      </rPr>
      <t xml:space="preserve">
- Absolute for the row. The reference is locked to that row. The column remains relative. Example </t>
    </r>
    <r>
      <rPr>
        <b/>
        <sz val="11"/>
        <color theme="1"/>
        <rFont val="Calibri"/>
        <family val="2"/>
        <scheme val="minor"/>
      </rPr>
      <t>=A$1</t>
    </r>
  </si>
  <si>
    <t>Example: 2 Entries</t>
  </si>
  <si>
    <t>Example: Multi cells</t>
  </si>
  <si>
    <r>
      <t>When using more advanced formulas you may need to nest parentheses. You can look at this like an onion, which has many layers. Excel will calculate the numbers inside the parentheses first, layer by layer, starting with the inner layer.
Example:</t>
    </r>
    <r>
      <rPr>
        <b/>
        <sz val="11"/>
        <color theme="1"/>
        <rFont val="Calibri"/>
        <family val="2"/>
        <scheme val="minor"/>
      </rPr>
      <t xml:space="preserve"> =((2*2)+(3*4)+(5*5))*2</t>
    </r>
  </si>
  <si>
    <r>
      <rPr>
        <b/>
        <sz val="11"/>
        <color theme="1"/>
        <rFont val="Calibri"/>
        <family val="2"/>
        <scheme val="minor"/>
      </rPr>
      <t>Excel Parentheses</t>
    </r>
    <r>
      <rPr>
        <sz val="11"/>
        <color theme="1"/>
        <rFont val="Calibri"/>
        <family val="2"/>
        <scheme val="minor"/>
      </rPr>
      <t xml:space="preserve">: Parentheses () is used to change the order of an operation. Example: </t>
    </r>
    <r>
      <rPr>
        <b/>
        <sz val="11"/>
        <color theme="1"/>
        <rFont val="Calibri"/>
        <family val="2"/>
        <scheme val="minor"/>
      </rPr>
      <t>=(10+5)*2</t>
    </r>
  </si>
  <si>
    <r>
      <rPr>
        <b/>
        <sz val="11"/>
        <color theme="1"/>
        <rFont val="Calibri"/>
        <family val="2"/>
        <scheme val="minor"/>
      </rPr>
      <t xml:space="preserve">Relative References </t>
    </r>
    <r>
      <rPr>
        <sz val="11"/>
        <color theme="1"/>
        <rFont val="Calibri"/>
        <family val="2"/>
        <scheme val="minor"/>
      </rPr>
      <t xml:space="preserve">&gt;&gt; References are relative by default, and are without dollar sign ($). The relative reference makes the cells reference free. 
It gives the fill function freedom to continue the order without restrictions. Example: </t>
    </r>
    <r>
      <rPr>
        <b/>
        <sz val="11"/>
        <color theme="1"/>
        <rFont val="Calibri"/>
        <family val="2"/>
        <scheme val="minor"/>
      </rPr>
      <t>=A1</t>
    </r>
  </si>
  <si>
    <r>
      <rPr>
        <b/>
        <sz val="11"/>
        <color theme="1"/>
        <rFont val="Calibri"/>
        <family val="2"/>
        <scheme val="minor"/>
      </rPr>
      <t>Excel Functions:</t>
    </r>
    <r>
      <rPr>
        <sz val="11"/>
        <color theme="1"/>
        <rFont val="Calibri"/>
        <family val="2"/>
        <scheme val="minor"/>
      </rPr>
      <t xml:space="preserve"> Excel has many premade formulas, called functions.</t>
    </r>
  </si>
  <si>
    <r>
      <rPr>
        <b/>
        <sz val="11"/>
        <color theme="1"/>
        <rFont val="Calibri"/>
        <family val="2"/>
        <scheme val="minor"/>
      </rPr>
      <t>Excel Format Grids:</t>
    </r>
    <r>
      <rPr>
        <sz val="11"/>
        <color theme="1"/>
        <rFont val="Calibri"/>
        <family val="2"/>
        <scheme val="minor"/>
      </rPr>
      <t xml:space="preserve"> By default, gridlines are displayed in Excel. 
Click view in the Ribbon navigation bar and uncheck gridlines to remove grids.</t>
    </r>
  </si>
  <si>
    <r>
      <rPr>
        <b/>
        <sz val="11"/>
        <color theme="1"/>
        <rFont val="Calibri"/>
        <family val="2"/>
        <scheme val="minor"/>
      </rPr>
      <t>Excel Format Settings</t>
    </r>
    <r>
      <rPr>
        <sz val="11"/>
        <color theme="1"/>
        <rFont val="Calibri"/>
        <family val="2"/>
        <scheme val="minor"/>
      </rPr>
      <t>: Changing Format Settings is accessed in the options part of the File menu</t>
    </r>
  </si>
  <si>
    <r>
      <rPr>
        <b/>
        <sz val="12"/>
        <color theme="1"/>
        <rFont val="Calibri"/>
        <family val="2"/>
        <scheme val="minor"/>
      </rPr>
      <t xml:space="preserve">Excel Data Analysis: </t>
    </r>
    <r>
      <rPr>
        <sz val="12"/>
        <color theme="1"/>
        <rFont val="Calibri"/>
        <family val="2"/>
        <scheme val="minor"/>
      </rPr>
      <t xml:space="preserve"> Analysis can be done by sorting, filtering, formating, applying rules and charts</t>
    </r>
  </si>
  <si>
    <r>
      <rPr>
        <b/>
        <sz val="11"/>
        <color theme="1"/>
        <rFont val="Calibri"/>
        <family val="2"/>
        <scheme val="minor"/>
      </rPr>
      <t>Excel Sorting:</t>
    </r>
    <r>
      <rPr>
        <sz val="11"/>
        <color theme="1"/>
        <rFont val="Calibri"/>
        <family val="2"/>
        <scheme val="minor"/>
      </rPr>
      <t xml:space="preserve"> Ranges can be sorted using the Sort Ascending and Sort Descending commands. The commands are found in the Ribbon under the Sort &amp; Filter menu dropdown.</t>
    </r>
  </si>
  <si>
    <r>
      <rPr>
        <b/>
        <sz val="11"/>
        <color theme="1"/>
        <rFont val="Calibri"/>
        <family val="2"/>
        <scheme val="minor"/>
      </rPr>
      <t>Excel Filter:</t>
    </r>
    <r>
      <rPr>
        <sz val="11"/>
        <color theme="1"/>
        <rFont val="Calibri"/>
        <family val="2"/>
        <scheme val="minor"/>
      </rPr>
      <t xml:space="preserve"> Filters can be applied to sort and hide data. It makes data analysis easier. It is important to have a row of headers when applying filters. Having headers is useful to make the data understandable.
New buttons have been added to the cells in the top row. This indicates that the Filter was successfully applied. 
Click the drop down menu and choose the Filter option &gt;&gt; All items are checked by default. The checked items are the ones that are shown. Uncheck to hide.</t>
    </r>
  </si>
  <si>
    <r>
      <rPr>
        <b/>
        <sz val="11"/>
        <color theme="1"/>
        <rFont val="Calibri"/>
        <family val="2"/>
        <scheme val="minor"/>
      </rPr>
      <t>Excel table:</t>
    </r>
    <r>
      <rPr>
        <sz val="11"/>
        <color theme="1"/>
        <rFont val="Calibri"/>
        <family val="2"/>
        <scheme val="minor"/>
      </rPr>
      <t xml:space="preserve"> Tables connect cells in a range and put it into a fixed structure. The cells in the table range share the same formatting. </t>
    </r>
    <r>
      <rPr>
        <sz val="11"/>
        <color rgb="FFFF0000"/>
        <rFont val="Calibri"/>
        <family val="2"/>
        <scheme val="minor"/>
      </rPr>
      <t xml:space="preserve">Click </t>
    </r>
    <r>
      <rPr>
        <b/>
        <sz val="11"/>
        <color rgb="FFFF0000"/>
        <rFont val="Calibri"/>
        <family val="2"/>
        <scheme val="minor"/>
      </rPr>
      <t>Insert</t>
    </r>
    <r>
      <rPr>
        <sz val="11"/>
        <color rgb="FFFF0000"/>
        <rFont val="Calibri"/>
        <family val="2"/>
        <scheme val="minor"/>
      </rPr>
      <t xml:space="preserve"> in the Ribbon and then</t>
    </r>
    <r>
      <rPr>
        <b/>
        <sz val="11"/>
        <color rgb="FFFF0000"/>
        <rFont val="Calibri"/>
        <family val="2"/>
        <scheme val="minor"/>
      </rPr>
      <t xml:space="preserve"> Table</t>
    </r>
    <r>
      <rPr>
        <sz val="11"/>
        <color rgb="FFFF0000"/>
        <rFont val="Calibri"/>
        <family val="2"/>
        <scheme val="minor"/>
      </rPr>
      <t>.</t>
    </r>
  </si>
  <si>
    <t>Note: Tables can be used to prepare data for charts and pivot tables.
Note: It is useful to know the table names when you have many tables in a workbook and are referring to them in formulas.
Note: The remove duplicate command will not ask for which duplicates to delete. Make sure that it does not delete useful data.</t>
  </si>
  <si>
    <r>
      <rPr>
        <b/>
        <sz val="11"/>
        <color theme="1"/>
        <rFont val="Calibri"/>
        <family val="2"/>
        <scheme val="minor"/>
      </rPr>
      <t xml:space="preserve">Table Design </t>
    </r>
    <r>
      <rPr>
        <sz val="11"/>
        <color theme="1"/>
        <rFont val="Calibri"/>
        <family val="2"/>
        <scheme val="minor"/>
      </rPr>
      <t>&gt;&gt; The menu appears when selecting a cell in the table's range. 
- Resize (</t>
    </r>
    <r>
      <rPr>
        <b/>
        <sz val="11"/>
        <color theme="1"/>
        <rFont val="Calibri"/>
        <family val="2"/>
        <scheme val="minor"/>
      </rPr>
      <t>Table Design &gt; Resize Table):</t>
    </r>
    <r>
      <rPr>
        <sz val="11"/>
        <color theme="1"/>
        <rFont val="Calibri"/>
        <family val="2"/>
        <scheme val="minor"/>
      </rPr>
      <t xml:space="preserve"> Selecting new data range for table allows to resize the table range. Example:</t>
    </r>
    <r>
      <rPr>
        <b/>
        <sz val="11"/>
        <color theme="1"/>
        <rFont val="Calibri"/>
        <family val="2"/>
        <scheme val="minor"/>
      </rPr>
      <t xml:space="preserve"> A1:F12 to A1:F20
</t>
    </r>
    <r>
      <rPr>
        <sz val="11"/>
        <color theme="1"/>
        <rFont val="Calibri"/>
        <family val="2"/>
        <scheme val="minor"/>
      </rPr>
      <t xml:space="preserve">- Remove duplicates </t>
    </r>
    <r>
      <rPr>
        <b/>
        <sz val="11"/>
        <color theme="1"/>
        <rFont val="Calibri"/>
        <family val="2"/>
        <scheme val="minor"/>
      </rPr>
      <t>(Table Design &gt; Remove Duplicates):</t>
    </r>
    <r>
      <rPr>
        <sz val="11"/>
        <color theme="1"/>
        <rFont val="Calibri"/>
        <family val="2"/>
        <scheme val="minor"/>
      </rPr>
      <t xml:space="preserve"> Removing duplicates are helpful when cleaning a dataset and you do not want to include copies.
- Convert to range </t>
    </r>
    <r>
      <rPr>
        <b/>
        <sz val="11"/>
        <color theme="1"/>
        <rFont val="Calibri"/>
        <family val="2"/>
        <scheme val="minor"/>
      </rPr>
      <t xml:space="preserve">(Table Design &gt; Convert to Range): </t>
    </r>
    <r>
      <rPr>
        <sz val="11"/>
        <color theme="1"/>
        <rFont val="Calibri"/>
        <family val="2"/>
        <scheme val="minor"/>
      </rPr>
      <t xml:space="preserve">Tables can be reversed and converted back to range. It no longer has the table options available.
- Style options </t>
    </r>
    <r>
      <rPr>
        <b/>
        <sz val="11"/>
        <color theme="1"/>
        <rFont val="Calibri"/>
        <family val="2"/>
        <scheme val="minor"/>
      </rPr>
      <t>(Table Design &gt; Table Styles)</t>
    </r>
    <r>
      <rPr>
        <sz val="11"/>
        <color theme="1"/>
        <rFont val="Calibri"/>
        <family val="2"/>
        <scheme val="minor"/>
      </rPr>
      <t xml:space="preserve"> Options to select different styles (Total row, Header row, Banded row etc..)</t>
    </r>
  </si>
  <si>
    <t>Conditional Formatting Example</t>
  </si>
  <si>
    <t>Name</t>
  </si>
  <si>
    <t>Type</t>
  </si>
  <si>
    <t>Grass</t>
  </si>
  <si>
    <t>Fire</t>
  </si>
  <si>
    <t>Water</t>
  </si>
  <si>
    <t>Speed</t>
  </si>
  <si>
    <t>N</t>
  </si>
  <si>
    <t>Click on the Conditional Formatting icon in the ribbon</t>
  </si>
  <si>
    <t>Dark green is used for the highest values, and dark red for the lowest values.</t>
  </si>
  <si>
    <r>
      <rPr>
        <b/>
        <sz val="11"/>
        <color theme="1"/>
        <rFont val="Calibri"/>
        <family val="2"/>
        <scheme val="minor"/>
      </rPr>
      <t>Excel Conditional formatting:</t>
    </r>
    <r>
      <rPr>
        <sz val="11"/>
        <color theme="1"/>
        <rFont val="Calibri"/>
        <family val="2"/>
        <scheme val="minor"/>
      </rPr>
      <t xml:space="preserve"> It is used to change the appearance of cells in a range based on your specified conditions. Used for visual data analysis.
</t>
    </r>
    <r>
      <rPr>
        <b/>
        <sz val="11"/>
        <color theme="1"/>
        <rFont val="Calibri"/>
        <family val="2"/>
        <scheme val="minor"/>
      </rPr>
      <t>Home &gt; Conditional Formatting &gt; Color Scales</t>
    </r>
    <r>
      <rPr>
        <sz val="11"/>
        <color theme="1"/>
        <rFont val="Calibri"/>
        <family val="2"/>
        <scheme val="minor"/>
      </rPr>
      <t>: The conditions are rules based on specified numerical values or matching text. All the cells in the range gradually change color from green, yellow, orange, then red.</t>
    </r>
  </si>
  <si>
    <r>
      <rPr>
        <b/>
        <sz val="11"/>
        <color theme="1"/>
        <rFont val="Calibri"/>
        <family val="2"/>
        <scheme val="minor"/>
      </rPr>
      <t>Excel Highlight Cell Rules:</t>
    </r>
    <r>
      <rPr>
        <sz val="11"/>
        <color theme="1"/>
        <rFont val="Calibri"/>
        <family val="2"/>
        <scheme val="minor"/>
      </rPr>
      <t xml:space="preserve"> Highlight Cell Rules is a premade type of conditional formatting in Excel used to change the appearance of cells in a range based on your specified conditions.
The conditions are rules based on specified numerical values, matching text, calendar dates, or duplicated and unique values.</t>
    </r>
  </si>
  <si>
    <r>
      <t xml:space="preserve">Select the range that needs formating. </t>
    </r>
    <r>
      <rPr>
        <b/>
        <sz val="11"/>
        <color theme="1"/>
        <rFont val="Calibri"/>
        <family val="2"/>
        <scheme val="minor"/>
      </rPr>
      <t>Example: F3:F8</t>
    </r>
  </si>
  <si>
    <r>
      <t xml:space="preserve">Select the </t>
    </r>
    <r>
      <rPr>
        <b/>
        <sz val="11"/>
        <color theme="1"/>
        <rFont val="Calibri"/>
        <family val="2"/>
        <scheme val="minor"/>
      </rPr>
      <t>Color Scales</t>
    </r>
    <r>
      <rPr>
        <sz val="11"/>
        <color theme="1"/>
        <rFont val="Calibri"/>
        <family val="2"/>
        <scheme val="minor"/>
      </rPr>
      <t xml:space="preserve"> from the drop-down menu</t>
    </r>
  </si>
  <si>
    <t>Light Red Fill with Dark Red Text</t>
  </si>
  <si>
    <t>Yellow Fill with Dark Yellow Text</t>
  </si>
  <si>
    <t>Green Fill with Dark Green Text</t>
  </si>
  <si>
    <t>Light Red Fill</t>
  </si>
  <si>
    <t>Red Text</t>
  </si>
  <si>
    <t>Red Border</t>
  </si>
  <si>
    <t>Type 1</t>
  </si>
  <si>
    <t>HP</t>
  </si>
  <si>
    <t>Attack</t>
  </si>
  <si>
    <t>Defense</t>
  </si>
  <si>
    <t>Sp. Atk</t>
  </si>
  <si>
    <t>Sp. Def</t>
  </si>
  <si>
    <t>Electric</t>
  </si>
  <si>
    <t>Magikarp</t>
  </si>
  <si>
    <t>Gyarados</t>
  </si>
  <si>
    <t>Lapras</t>
  </si>
  <si>
    <t>Ditto</t>
  </si>
  <si>
    <t>Eevee</t>
  </si>
  <si>
    <t>Vaporeon</t>
  </si>
  <si>
    <t>Jolteon</t>
  </si>
  <si>
    <t>Home &gt; Conditional Formatting &gt; Highlight Cells Rules &gt; Text that contains</t>
  </si>
  <si>
    <t>Highlight Cell Rules (HCR)</t>
  </si>
  <si>
    <r>
      <t>Select the range</t>
    </r>
    <r>
      <rPr>
        <b/>
        <sz val="11"/>
        <color theme="1"/>
        <rFont val="Calibri"/>
        <family val="2"/>
        <scheme val="minor"/>
      </rPr>
      <t xml:space="preserve"> E20:J26 </t>
    </r>
    <r>
      <rPr>
        <sz val="11"/>
        <color theme="1"/>
        <rFont val="Calibri"/>
        <family val="2"/>
        <scheme val="minor"/>
      </rPr>
      <t>for all of the stat values</t>
    </r>
  </si>
  <si>
    <t>Click on the Conditional Formatting icon on the ribbon</t>
  </si>
  <si>
    <t>This will open a dialog box where you can specify the value and the appearance option.</t>
  </si>
  <si>
    <t>Highlight Cell Rule will highlight a cell based on the cell value being equal to your specified value (Numeric/Text)</t>
  </si>
  <si>
    <t>"Equal To..." | "Greater Than..." | "Less Than..." | "Between..."</t>
  </si>
  <si>
    <r>
      <t xml:space="preserve">Select the </t>
    </r>
    <r>
      <rPr>
        <b/>
        <sz val="11"/>
        <color theme="1"/>
        <rFont val="Calibri"/>
        <family val="2"/>
        <scheme val="minor"/>
      </rPr>
      <t>Highlight Cell Rules</t>
    </r>
    <r>
      <rPr>
        <sz val="11"/>
        <color theme="1"/>
        <rFont val="Calibri"/>
        <family val="2"/>
        <scheme val="minor"/>
      </rPr>
      <t xml:space="preserve"> from the drop-down menu </t>
    </r>
  </si>
  <si>
    <t>Click any one option ("Equal To..." | "Greater Than..." | "Less Than..." | "Between...")</t>
  </si>
  <si>
    <t>Enter numeric/texts into the input field</t>
  </si>
  <si>
    <t>Select the appearance option "Yellow Fill with Dark Yellow Text" from the dropdown menu &gt; Click OK</t>
  </si>
  <si>
    <t>Equal To</t>
  </si>
  <si>
    <t>Less Than</t>
  </si>
  <si>
    <t>Greater Than</t>
  </si>
  <si>
    <t>Between</t>
  </si>
  <si>
    <t>60-75</t>
  </si>
  <si>
    <t>water</t>
  </si>
  <si>
    <t>Date</t>
  </si>
  <si>
    <t>Last Week</t>
  </si>
  <si>
    <t>Next Month</t>
  </si>
  <si>
    <t>Date HCR</t>
  </si>
  <si>
    <t>A Date Occurring…</t>
  </si>
  <si>
    <r>
      <rPr>
        <b/>
        <sz val="11"/>
        <color theme="1"/>
        <rFont val="Calibri"/>
        <family val="2"/>
        <scheme val="minor"/>
      </rPr>
      <t xml:space="preserve">"Equal To..." | "Greater Than..." | "Less Than..." | "Between...": </t>
    </r>
    <r>
      <rPr>
        <sz val="11"/>
        <color theme="1"/>
        <rFont val="Calibri"/>
        <family val="2"/>
        <scheme val="minor"/>
      </rPr>
      <t xml:space="preserve"> highlight cell rule will highlight a cell with one of the appearance options based on the cell value according to specified value.</t>
    </r>
  </si>
  <si>
    <t>Excel Top/Bottom Rules</t>
  </si>
  <si>
    <t>Bug</t>
  </si>
  <si>
    <t>Normal</t>
  </si>
  <si>
    <t>Poison</t>
  </si>
  <si>
    <t>Ground</t>
  </si>
  <si>
    <t xml:space="preserve">    </t>
  </si>
  <si>
    <t>Bulbasaur</t>
  </si>
  <si>
    <t>Ivysaur</t>
  </si>
  <si>
    <t>Venusaur</t>
  </si>
  <si>
    <t>Charmander</t>
  </si>
  <si>
    <t>Charmeleon</t>
  </si>
  <si>
    <t>Charizard</t>
  </si>
  <si>
    <t>Squirtle</t>
  </si>
  <si>
    <t>Wartortle</t>
  </si>
  <si>
    <t>Blastoise</t>
  </si>
  <si>
    <t>Caterpie</t>
  </si>
  <si>
    <t>Metapod</t>
  </si>
  <si>
    <t>Butterfree</t>
  </si>
  <si>
    <t>Weedle</t>
  </si>
  <si>
    <t>Kakuna</t>
  </si>
  <si>
    <t>Rattata</t>
  </si>
  <si>
    <t>Raticate</t>
  </si>
  <si>
    <t>Spearow</t>
  </si>
  <si>
    <t>Fearow</t>
  </si>
  <si>
    <t>Ekans</t>
  </si>
  <si>
    <t>Arbok</t>
  </si>
  <si>
    <t>Pikachu</t>
  </si>
  <si>
    <t>Raichu</t>
  </si>
  <si>
    <t>Sandshrew</t>
  </si>
  <si>
    <t>Sandslash</t>
  </si>
  <si>
    <t>Nidoran</t>
  </si>
  <si>
    <t>Nidorina</t>
  </si>
  <si>
    <r>
      <rPr>
        <b/>
        <sz val="11"/>
        <color theme="1"/>
        <rFont val="Calibri"/>
        <family val="2"/>
        <scheme val="minor"/>
      </rPr>
      <t>Excel Top/Bottom Rules</t>
    </r>
    <r>
      <rPr>
        <sz val="11"/>
        <color theme="1"/>
        <rFont val="Calibri"/>
        <family val="2"/>
        <scheme val="minor"/>
      </rPr>
      <t xml:space="preserve"> are premade types of conditional formatting in Excel used to change the appearance of cells in a range based on your specified conditions. 
</t>
    </r>
    <r>
      <rPr>
        <b/>
        <sz val="11"/>
        <color theme="1"/>
        <rFont val="Calibri"/>
        <family val="2"/>
        <scheme val="minor"/>
      </rPr>
      <t xml:space="preserve">Home &gt; Conditional Formatting &gt; Top/Bottom Rules </t>
    </r>
  </si>
  <si>
    <t>Below Average</t>
  </si>
  <si>
    <t>Above Average</t>
  </si>
  <si>
    <t>Average</t>
  </si>
  <si>
    <r>
      <rPr>
        <b/>
        <sz val="11"/>
        <color theme="1"/>
        <rFont val="Calibri"/>
        <family val="2"/>
        <scheme val="minor"/>
      </rPr>
      <t>Excel Data Bars</t>
    </r>
    <r>
      <rPr>
        <sz val="11"/>
        <color theme="1"/>
        <rFont val="Calibri"/>
        <family val="2"/>
        <scheme val="minor"/>
      </rPr>
      <t xml:space="preserve"> are premade types of conditional formatting in Excel used to add colored bars to cells in a range to indicate how large the cell values are compared to the other values.</t>
    </r>
  </si>
  <si>
    <t>Data Bars</t>
  </si>
  <si>
    <t>Top/Bottom Rules</t>
  </si>
  <si>
    <t xml:space="preserve">Color Scales </t>
  </si>
  <si>
    <t>Icon Sets</t>
  </si>
  <si>
    <r>
      <t xml:space="preserve">Note: You can remove the Highlight Cell Rules with Manage Rules. Conditional Formatting rules can be managed and removed using the </t>
    </r>
    <r>
      <rPr>
        <b/>
        <sz val="11"/>
        <color theme="1"/>
        <rFont val="Calibri"/>
        <family val="2"/>
        <scheme val="minor"/>
      </rPr>
      <t>Clear Rules</t>
    </r>
    <r>
      <rPr>
        <sz val="11"/>
        <color theme="1"/>
        <rFont val="Calibri"/>
        <family val="2"/>
        <scheme val="minor"/>
      </rPr>
      <t xml:space="preserve"> and </t>
    </r>
    <r>
      <rPr>
        <b/>
        <sz val="11"/>
        <color theme="1"/>
        <rFont val="Calibri"/>
        <family val="2"/>
        <scheme val="minor"/>
      </rPr>
      <t>Manage Rules</t>
    </r>
    <r>
      <rPr>
        <sz val="11"/>
        <color theme="1"/>
        <rFont val="Calibri"/>
        <family val="2"/>
        <scheme val="minor"/>
      </rPr>
      <t xml:space="preserve"> features.</t>
    </r>
  </si>
  <si>
    <r>
      <t xml:space="preserve">You can remove all the rules from a selected range of cells or from the entire spreadsheet using the </t>
    </r>
    <r>
      <rPr>
        <b/>
        <sz val="11"/>
        <color theme="1"/>
        <rFont val="Calibri"/>
        <family val="2"/>
        <scheme val="minor"/>
      </rPr>
      <t>Clear Rules</t>
    </r>
    <r>
      <rPr>
        <sz val="11"/>
        <color theme="1"/>
        <rFont val="Calibri"/>
        <family val="2"/>
        <scheme val="minor"/>
      </rPr>
      <t xml:space="preserve"> options.</t>
    </r>
  </si>
  <si>
    <t>Manage Rules…</t>
  </si>
  <si>
    <t>You can also use the Manage Rules menu option to delete or edit conditional formatting rules.</t>
  </si>
  <si>
    <r>
      <rPr>
        <b/>
        <sz val="11"/>
        <color theme="1"/>
        <rFont val="Calibri"/>
        <family val="2"/>
        <scheme val="minor"/>
      </rPr>
      <t>Excel Charts</t>
    </r>
    <r>
      <rPr>
        <sz val="11"/>
        <color theme="1"/>
        <rFont val="Calibri"/>
        <family val="2"/>
        <scheme val="minor"/>
      </rPr>
      <t xml:space="preserve"> are visual representations of data used to make it more understandable.</t>
    </r>
  </si>
  <si>
    <t>1. Pie chart</t>
  </si>
  <si>
    <t>3. Line chart</t>
  </si>
  <si>
    <t>2. Column chart | Bar chart</t>
  </si>
  <si>
    <t>Changing The Chart Title</t>
  </si>
  <si>
    <t>The default chart title in Excel is "Chart Title". This is not informative. The title should describe the chart.</t>
  </si>
  <si>
    <r>
      <t xml:space="preserve">Double click on the chart and click on </t>
    </r>
    <r>
      <rPr>
        <b/>
        <sz val="11"/>
        <color theme="1"/>
        <rFont val="Calibri"/>
        <family val="2"/>
        <scheme val="minor"/>
      </rPr>
      <t>+</t>
    </r>
    <r>
      <rPr>
        <sz val="11"/>
        <color theme="1"/>
        <rFont val="Calibri"/>
        <family val="2"/>
        <scheme val="minor"/>
      </rPr>
      <t xml:space="preserve"> to format or customize it.</t>
    </r>
  </si>
  <si>
    <r>
      <rPr>
        <b/>
        <sz val="14"/>
        <color theme="1"/>
        <rFont val="Calibri"/>
        <family val="2"/>
        <scheme val="minor"/>
      </rPr>
      <t>Insert &gt;&gt; Charts</t>
    </r>
    <r>
      <rPr>
        <sz val="14"/>
        <color theme="1"/>
        <rFont val="Calibri"/>
        <family val="2"/>
        <scheme val="minor"/>
      </rPr>
      <t xml:space="preserve"> </t>
    </r>
    <r>
      <rPr>
        <sz val="11"/>
        <color theme="1"/>
        <rFont val="Calibri"/>
        <family val="2"/>
        <scheme val="minor"/>
      </rPr>
      <t>are visual representations of data used to make it more understandable. Commonly used charts are:</t>
    </r>
  </si>
  <si>
    <r>
      <rPr>
        <b/>
        <sz val="14"/>
        <color theme="1"/>
        <rFont val="Calibri"/>
        <family val="2"/>
        <scheme val="minor"/>
      </rPr>
      <t xml:space="preserve">Pivot Table </t>
    </r>
    <r>
      <rPr>
        <sz val="11"/>
        <color theme="1"/>
        <rFont val="Calibri"/>
        <family val="2"/>
        <scheme val="minor"/>
      </rPr>
      <t>is a functionality in Excel which helps you organize and analyze large data sets</t>
    </r>
  </si>
  <si>
    <r>
      <t xml:space="preserve"> It allows to </t>
    </r>
    <r>
      <rPr>
        <sz val="11"/>
        <color theme="1"/>
        <rFont val="Calibri"/>
        <family val="2"/>
        <scheme val="minor"/>
      </rPr>
      <t>add and remove values, perform calculations, and to filter and sort data sets.</t>
    </r>
  </si>
  <si>
    <t>The Pivot Table Fields panel is used to change how to show the data. The settings can be separated in two: Fields and Layout.</t>
  </si>
  <si>
    <t>Click on A1 cell &gt;&gt; click Insert on the top ribbon &gt; click Pivot table and then select the fields that wants to show in pivot table</t>
  </si>
  <si>
    <r>
      <t xml:space="preserve">Remove Pivot Table  </t>
    </r>
    <r>
      <rPr>
        <sz val="11"/>
        <color theme="1"/>
        <rFont val="Calibri"/>
        <family val="2"/>
        <scheme val="minor"/>
      </rPr>
      <t>by selecting the entire PivotTable and pressing Delete key to remove</t>
    </r>
  </si>
  <si>
    <t>Item price</t>
  </si>
  <si>
    <t xml:space="preserve">Price   </t>
  </si>
  <si>
    <t>Shop cart</t>
  </si>
  <si>
    <t>Pokeball</t>
  </si>
  <si>
    <t>Great ball</t>
  </si>
  <si>
    <t>Ultra ball</t>
  </si>
  <si>
    <t>Potion</t>
  </si>
  <si>
    <t>Super potion</t>
  </si>
  <si>
    <t>Hyper potion</t>
  </si>
  <si>
    <t>Antidote</t>
  </si>
  <si>
    <t>Subtotal</t>
  </si>
  <si>
    <t>Discount</t>
  </si>
  <si>
    <t>Prices for items (E73:E79)</t>
  </si>
  <si>
    <t>Sub total (D81)</t>
  </si>
  <si>
    <t>Add discount (D82)</t>
  </si>
  <si>
    <t>Total price (D84)</t>
  </si>
  <si>
    <t>Discount %</t>
  </si>
  <si>
    <r>
      <rPr>
        <b/>
        <sz val="11"/>
        <color theme="1"/>
        <rFont val="Calibri"/>
        <family val="2"/>
        <scheme val="minor"/>
      </rPr>
      <t>Pivot Table</t>
    </r>
    <r>
      <rPr>
        <sz val="11"/>
        <color theme="1"/>
        <rFont val="Calibri"/>
        <family val="2"/>
        <scheme val="minor"/>
      </rPr>
      <t xml:space="preserve"> is a functionality in Excel which helps you organize and analyze large data sets</t>
    </r>
  </si>
  <si>
    <t>Complete the following to solve the case:</t>
  </si>
  <si>
    <t xml:space="preserve">    Name</t>
  </si>
  <si>
    <t>Fire Type AND more than 70 Speed</t>
  </si>
  <si>
    <t xml:space="preserve">    Bulbasaur</t>
  </si>
  <si>
    <t xml:space="preserve">    Ivysaur</t>
  </si>
  <si>
    <t xml:space="preserve">    Venusaur</t>
  </si>
  <si>
    <t xml:space="preserve">    Charmander</t>
  </si>
  <si>
    <t xml:space="preserve">    Charmeleon</t>
  </si>
  <si>
    <t xml:space="preserve">    Charizard</t>
  </si>
  <si>
    <t xml:space="preserve">    Squirtle</t>
  </si>
  <si>
    <t xml:space="preserve">    Wartortle</t>
  </si>
  <si>
    <t xml:space="preserve">    Blastoise</t>
  </si>
  <si>
    <t>Types</t>
  </si>
  <si>
    <r>
      <rPr>
        <b/>
        <sz val="11"/>
        <color theme="1"/>
        <rFont val="Calibri"/>
        <family val="2"/>
        <scheme val="minor"/>
      </rPr>
      <t>AND Functions</t>
    </r>
    <r>
      <rPr>
        <sz val="11"/>
        <color theme="1"/>
        <rFont val="Calibri"/>
        <family val="2"/>
        <scheme val="minor"/>
      </rPr>
      <t xml:space="preserve">: It is a premade function in Excel, which returns TRUE or FALSE based on two or more conditions. </t>
    </r>
    <r>
      <rPr>
        <b/>
        <sz val="11"/>
        <color theme="1"/>
        <rFont val="Calibri"/>
        <family val="2"/>
        <scheme val="minor"/>
      </rPr>
      <t>Note:</t>
    </r>
    <r>
      <rPr>
        <sz val="11"/>
        <color theme="1"/>
        <rFont val="Calibri"/>
        <family val="2"/>
        <scheme val="minor"/>
      </rPr>
      <t xml:space="preserve"> The AND function is often used together with the IF function.
The IF function is typed =IF and has 3 parts: </t>
    </r>
    <r>
      <rPr>
        <b/>
        <sz val="11"/>
        <color theme="1"/>
        <rFont val="Calibri"/>
        <family val="2"/>
        <scheme val="minor"/>
      </rPr>
      <t>=IF(logical_test, [value_if_true], [value_if_false])</t>
    </r>
    <r>
      <rPr>
        <sz val="11"/>
        <color theme="1"/>
        <rFont val="Calibri"/>
        <family val="2"/>
        <scheme val="minor"/>
      </rPr>
      <t xml:space="preserve">
</t>
    </r>
    <r>
      <rPr>
        <b/>
        <sz val="11"/>
        <rFont val="Calibri"/>
        <family val="2"/>
        <scheme val="minor"/>
      </rPr>
      <t>T, T = T     /     T, F = F    /     F, T = F    /    F, F = F</t>
    </r>
  </si>
  <si>
    <r>
      <rPr>
        <b/>
        <sz val="11"/>
        <color theme="1"/>
        <rFont val="Calibri"/>
        <family val="2"/>
        <scheme val="minor"/>
      </rPr>
      <t>OR Functions</t>
    </r>
    <r>
      <rPr>
        <sz val="11"/>
        <color theme="1"/>
        <rFont val="Calibri"/>
        <family val="2"/>
        <scheme val="minor"/>
      </rPr>
      <t xml:space="preserve">: It is a premade function in Excel, which returns TRUE or FALSE based on two or more conditions. </t>
    </r>
    <r>
      <rPr>
        <b/>
        <sz val="11"/>
        <color theme="1"/>
        <rFont val="Calibri"/>
        <family val="2"/>
        <scheme val="minor"/>
      </rPr>
      <t>Note:</t>
    </r>
    <r>
      <rPr>
        <sz val="11"/>
        <color theme="1"/>
        <rFont val="Calibri"/>
        <family val="2"/>
        <scheme val="minor"/>
      </rPr>
      <t xml:space="preserve"> The AND function is often used together with the IF function.
The IF function is typed =IF and has 3 parts: </t>
    </r>
    <r>
      <rPr>
        <b/>
        <sz val="11"/>
        <color theme="1"/>
        <rFont val="Calibri"/>
        <family val="2"/>
        <scheme val="minor"/>
      </rPr>
      <t>=IF(logical_test, [value_if_true], [value_if_false])</t>
    </r>
    <r>
      <rPr>
        <sz val="11"/>
        <color theme="1"/>
        <rFont val="Calibri"/>
        <family val="2"/>
        <scheme val="minor"/>
      </rPr>
      <t xml:space="preserve">
</t>
    </r>
    <r>
      <rPr>
        <b/>
        <sz val="11"/>
        <rFont val="Calibri"/>
        <family val="2"/>
        <scheme val="minor"/>
      </rPr>
      <t>T, T = T     /     T, F = T    /     F, T = T    /    F, F = F</t>
    </r>
  </si>
  <si>
    <t>Fire Type OR more than 70 Speed</t>
  </si>
  <si>
    <t xml:space="preserve">AND Functions </t>
  </si>
  <si>
    <t>=AND(B4="Fire",C4&gt;70)</t>
  </si>
  <si>
    <t>OR Functions</t>
  </si>
  <si>
    <t>=OR(B4="Fire",C4&gt;70)</t>
  </si>
  <si>
    <t>EXCEL Functions</t>
  </si>
  <si>
    <t>=IF(AND(B18="Fire",C18&gt;=70),"Yes","No")</t>
  </si>
  <si>
    <r>
      <t xml:space="preserve">Note: The </t>
    </r>
    <r>
      <rPr>
        <b/>
        <sz val="11"/>
        <color theme="1"/>
        <rFont val="Calibri"/>
        <family val="2"/>
        <scheme val="minor"/>
      </rPr>
      <t>AND/OR</t>
    </r>
    <r>
      <rPr>
        <sz val="11"/>
        <color theme="1"/>
        <rFont val="Calibri"/>
        <family val="2"/>
        <scheme val="minor"/>
      </rPr>
      <t xml:space="preserve"> function is often used together with the IF function. =IF(logical_test, [value_if_true], [value_if_false])</t>
    </r>
  </si>
  <si>
    <t>=IF(OR(B18="Fire",C18&gt;=70),"Yes","No")</t>
  </si>
  <si>
    <t>AVERAGE Functions</t>
  </si>
  <si>
    <t xml:space="preserve">    Trainer</t>
  </si>
  <si>
    <t>Great Ball</t>
  </si>
  <si>
    <t>Master Ball</t>
  </si>
  <si>
    <t xml:space="preserve">    Iva</t>
  </si>
  <si>
    <t xml:space="preserve">    Liam</t>
  </si>
  <si>
    <t xml:space="preserve">    Jenny</t>
  </si>
  <si>
    <t xml:space="preserve">    Iben</t>
  </si>
  <si>
    <t xml:space="preserve">    Adora</t>
  </si>
  <si>
    <t xml:space="preserve">    Kasper</t>
  </si>
  <si>
    <t>=AVERAGE(H4:K4)</t>
  </si>
  <si>
    <t>Hi</t>
  </si>
  <si>
    <t>Average command and select range</t>
  </si>
  <si>
    <t>AVERAGEIF Functions</t>
  </si>
  <si>
    <t>Type average</t>
  </si>
  <si>
    <t>=AVERAGEIF(H$11:H$19, K12, I$11:I$19)</t>
  </si>
  <si>
    <t>Total stats</t>
  </si>
  <si>
    <t xml:space="preserve">    Poliwrath</t>
  </si>
  <si>
    <t xml:space="preserve">    Victreebel</t>
  </si>
  <si>
    <t xml:space="preserve">    Tentacool</t>
  </si>
  <si>
    <t xml:space="preserve">    Magneton</t>
  </si>
  <si>
    <t xml:space="preserve">    Dewgong</t>
  </si>
  <si>
    <t xml:space="preserve">    Cloyster</t>
  </si>
  <si>
    <t xml:space="preserve">    Onix</t>
  </si>
  <si>
    <t>Rock</t>
  </si>
  <si>
    <t xml:space="preserve">    Dragonair</t>
  </si>
  <si>
    <t xml:space="preserve">    Pidgeotto</t>
  </si>
  <si>
    <t xml:space="preserve">    Rattata</t>
  </si>
  <si>
    <t xml:space="preserve">    Beedrill</t>
  </si>
  <si>
    <t xml:space="preserve">    Doduo</t>
  </si>
  <si>
    <t xml:space="preserve">    Kingler</t>
  </si>
  <si>
    <t xml:space="preserve">    Nidoqueen</t>
  </si>
  <si>
    <t xml:space="preserve">    Hitmonchan</t>
  </si>
  <si>
    <t xml:space="preserve">    Arbok</t>
  </si>
  <si>
    <t xml:space="preserve">    Gastly</t>
  </si>
  <si>
    <t xml:space="preserve">    Magikarp</t>
  </si>
  <si>
    <t>Mankey</t>
  </si>
  <si>
    <t xml:space="preserve">  Name</t>
  </si>
  <si>
    <t xml:space="preserve">  Bulbasaur</t>
  </si>
  <si>
    <t xml:space="preserve">  Ivysaur</t>
  </si>
  <si>
    <t xml:space="preserve">  Venusaur</t>
  </si>
  <si>
    <t xml:space="preserve">  Charmander</t>
  </si>
  <si>
    <t xml:space="preserve">  Charmeleon</t>
  </si>
  <si>
    <t xml:space="preserve">  Charizard</t>
  </si>
  <si>
    <t xml:space="preserve">  Squirtle</t>
  </si>
  <si>
    <t xml:space="preserve">  Wartortle</t>
  </si>
  <si>
    <t xml:space="preserve">  Blastoise</t>
  </si>
  <si>
    <t xml:space="preserve">  </t>
  </si>
  <si>
    <t>Below 400</t>
  </si>
  <si>
    <t>Above 400</t>
  </si>
  <si>
    <r>
      <rPr>
        <b/>
        <sz val="11"/>
        <color theme="1"/>
        <rFont val="Calibri"/>
        <family val="2"/>
        <scheme val="minor"/>
      </rPr>
      <t>AVERAGEIF</t>
    </r>
    <r>
      <rPr>
        <sz val="11"/>
        <color theme="1"/>
        <rFont val="Calibri"/>
        <family val="2"/>
        <scheme val="minor"/>
      </rPr>
      <t xml:space="preserve"> function is a premade function in Excel, which calculates the average of a range based on a true or false condition. It has 3 parts:
=AVERAGEIF(range, criteria, [average_range])</t>
    </r>
  </si>
  <si>
    <r>
      <rPr>
        <b/>
        <sz val="11"/>
        <color theme="1"/>
        <rFont val="Calibri"/>
        <family val="2"/>
        <scheme val="minor"/>
      </rPr>
      <t>TRIM</t>
    </r>
    <r>
      <rPr>
        <sz val="11"/>
        <color theme="1"/>
        <rFont val="Calibri"/>
        <family val="2"/>
        <scheme val="minor"/>
      </rPr>
      <t xml:space="preserve"> function is premade in Excel and used to remove irregular text spacing and keep single spaces between words.</t>
    </r>
    <r>
      <rPr>
        <b/>
        <sz val="11"/>
        <color theme="1"/>
        <rFont val="Calibri"/>
        <family val="2"/>
        <scheme val="minor"/>
      </rPr>
      <t xml:space="preserve"> </t>
    </r>
    <r>
      <rPr>
        <sz val="11"/>
        <color theme="1"/>
        <rFont val="Calibri"/>
        <family val="2"/>
        <scheme val="minor"/>
      </rPr>
      <t>Use Trim to tidy up irregular spaces in the dataset within the range</t>
    </r>
    <r>
      <rPr>
        <b/>
        <sz val="11"/>
        <color theme="1"/>
        <rFont val="Calibri"/>
        <family val="2"/>
        <scheme val="minor"/>
      </rPr>
      <t xml:space="preserve">
=TRIM(cell) 
=TRIM(start cell:end cell)</t>
    </r>
  </si>
  <si>
    <r>
      <t>Copy the trimmed cell and</t>
    </r>
    <r>
      <rPr>
        <b/>
        <sz val="11"/>
        <color theme="1"/>
        <rFont val="Calibri"/>
        <family val="2"/>
        <scheme val="minor"/>
      </rPr>
      <t xml:space="preserve"> paste the value</t>
    </r>
    <r>
      <rPr>
        <sz val="11"/>
        <color theme="1"/>
        <rFont val="Calibri"/>
        <family val="2"/>
        <scheme val="minor"/>
      </rPr>
      <t xml:space="preserve"> to desired cell</t>
    </r>
  </si>
  <si>
    <r>
      <rPr>
        <b/>
        <sz val="11"/>
        <color theme="1"/>
        <rFont val="Calibri"/>
        <family val="2"/>
        <scheme val="minor"/>
      </rPr>
      <t>CONCAT</t>
    </r>
    <r>
      <rPr>
        <sz val="11"/>
        <color theme="1"/>
        <rFont val="Calibri"/>
        <family val="2"/>
        <scheme val="minor"/>
      </rPr>
      <t xml:space="preserve"> function is used to link multiple cells without adding any delimiters between the combined cell values. CONCAT function accepts cell values of both text and numbers. </t>
    </r>
    <r>
      <rPr>
        <b/>
        <sz val="11"/>
        <color theme="1"/>
        <rFont val="Calibri"/>
        <family val="2"/>
        <scheme val="minor"/>
      </rPr>
      <t>=CONCAT(cell1, delimiter, cell2)</t>
    </r>
    <r>
      <rPr>
        <sz val="11"/>
        <color theme="1"/>
        <rFont val="Calibri"/>
        <family val="2"/>
        <scheme val="minor"/>
      </rPr>
      <t xml:space="preserve">
Note: Delimiters are spacing or symbols used to seperate content elements apart from each other. Examples: comma , semicolon ; quotes " or ' braces {} pipes | slashes / \ inside of quotation marks to create a delimiter (" ")</t>
    </r>
  </si>
  <si>
    <r>
      <rPr>
        <b/>
        <sz val="11"/>
        <color theme="1"/>
        <rFont val="Calibri"/>
        <family val="2"/>
        <scheme val="minor"/>
      </rPr>
      <t>AVERAGE</t>
    </r>
    <r>
      <rPr>
        <sz val="11"/>
        <color theme="1"/>
        <rFont val="Calibri"/>
        <family val="2"/>
        <scheme val="minor"/>
      </rPr>
      <t xml:space="preserve"> function is a premade function in Excel, which calculates the average (arithmetic mean).</t>
    </r>
    <r>
      <rPr>
        <b/>
        <sz val="11"/>
        <color theme="1"/>
        <rFont val="Calibri"/>
        <family val="2"/>
        <scheme val="minor"/>
      </rPr>
      <t xml:space="preserve"> It adds the range and divides it by the count number.</t>
    </r>
    <r>
      <rPr>
        <sz val="11"/>
        <color theme="1"/>
        <rFont val="Calibri"/>
        <family val="2"/>
        <scheme val="minor"/>
      </rPr>
      <t xml:space="preserve"> Example: sum of the observations (2 + 3 + 4 = 9)/3 = 3
The function ignores cells with text and completes the calculation with numbers only. =AVERAGE(range)</t>
    </r>
  </si>
  <si>
    <r>
      <rPr>
        <b/>
        <sz val="11"/>
        <color theme="1"/>
        <rFont val="Calibri"/>
        <family val="2"/>
        <scheme val="minor"/>
      </rPr>
      <t xml:space="preserve">COUNT </t>
    </r>
    <r>
      <rPr>
        <sz val="11"/>
        <color theme="1"/>
        <rFont val="Calibri"/>
        <family val="2"/>
        <scheme val="minor"/>
      </rPr>
      <t xml:space="preserve">function is a premade function in Excel, which counts cells with numbers in a range. Example: </t>
    </r>
    <r>
      <rPr>
        <b/>
        <sz val="11"/>
        <color theme="1"/>
        <rFont val="Calibri"/>
        <family val="2"/>
        <scheme val="minor"/>
      </rPr>
      <t>=COUNT(A2:A20)</t>
    </r>
  </si>
  <si>
    <r>
      <rPr>
        <b/>
        <sz val="11"/>
        <color theme="1"/>
        <rFont val="Calibri"/>
        <family val="2"/>
        <scheme val="minor"/>
      </rPr>
      <t>COUNTA</t>
    </r>
    <r>
      <rPr>
        <sz val="11"/>
        <color theme="1"/>
        <rFont val="Calibri"/>
        <family val="2"/>
        <scheme val="minor"/>
      </rPr>
      <t xml:space="preserve"> function is a premade function in Excel, which counts all cells in a range that has values, both numbers and letters. Example: </t>
    </r>
    <r>
      <rPr>
        <b/>
        <sz val="11"/>
        <color theme="1"/>
        <rFont val="Calibri"/>
        <family val="2"/>
        <scheme val="minor"/>
      </rPr>
      <t>=COUNTA(A2:B20)</t>
    </r>
  </si>
  <si>
    <t xml:space="preserve">Note: The COUNT function only counts cells with numbers, not cells with letters. The COUNTA function is better used if the cells have letters. </t>
  </si>
  <si>
    <r>
      <rPr>
        <b/>
        <sz val="11"/>
        <color theme="1"/>
        <rFont val="Calibri"/>
        <family val="2"/>
        <scheme val="minor"/>
      </rPr>
      <t>COUNTBLANK</t>
    </r>
    <r>
      <rPr>
        <sz val="11"/>
        <color theme="1"/>
        <rFont val="Calibri"/>
        <family val="2"/>
        <scheme val="minor"/>
      </rPr>
      <t xml:space="preserve"> function is a premade function in Excel, which counts blank cells in a range. Example:</t>
    </r>
    <r>
      <rPr>
        <b/>
        <sz val="11"/>
        <color theme="1"/>
        <rFont val="Calibri"/>
        <family val="2"/>
        <scheme val="minor"/>
      </rPr>
      <t xml:space="preserve"> =COUNTBLANK(A2:A20)</t>
    </r>
  </si>
  <si>
    <t>COUNT</t>
  </si>
  <si>
    <t>COUNTA</t>
  </si>
  <si>
    <t xml:space="preserve">COUNTIF </t>
  </si>
  <si>
    <t>=COUNTBLANK(A55:A64)</t>
  </si>
  <si>
    <t>=COUNT(B31:B50)</t>
  </si>
  <si>
    <t>COUNT function only counts cells with numbers, not cells with letters.</t>
  </si>
  <si>
    <t xml:space="preserve">COUNTA function is better used if the cells have letters </t>
  </si>
  <si>
    <t>Count function doesnot work with letters</t>
  </si>
  <si>
    <t>=COUNTA(B31:C50)</t>
  </si>
  <si>
    <t>Add multiple cells without adding any delimiters between the combined cell values. Cell values can be both texts and/or numbers</t>
  </si>
  <si>
    <t>CONCAT Function: =CONCAT(cell1, delimiter, cell2)</t>
  </si>
  <si>
    <t xml:space="preserve">TRIM: =TRIM(cell) </t>
  </si>
  <si>
    <t>=COUNTIF(B$31:B$50,K54)</t>
  </si>
  <si>
    <r>
      <rPr>
        <b/>
        <sz val="11"/>
        <color theme="1"/>
        <rFont val="Calibri"/>
        <family val="2"/>
        <scheme val="minor"/>
      </rPr>
      <t>COUNTIF</t>
    </r>
    <r>
      <rPr>
        <sz val="11"/>
        <color theme="1"/>
        <rFont val="Calibri"/>
        <family val="2"/>
        <scheme val="minor"/>
      </rPr>
      <t xml:space="preserve"> function can have basic or more advanced uses to count cells as specified criteria. This covers the basic use for how to count specific numbers (e.g. 90) and words (e.g. "water").</t>
    </r>
    <r>
      <rPr>
        <b/>
        <sz val="11"/>
        <color theme="1"/>
        <rFont val="Calibri"/>
        <family val="2"/>
        <scheme val="minor"/>
      </rPr>
      <t xml:space="preserve"> =COUNTIF(range, criteria)</t>
    </r>
  </si>
  <si>
    <t>=COUNTIF(cell:range,"&gt;400")</t>
  </si>
  <si>
    <r>
      <rPr>
        <b/>
        <sz val="11"/>
        <color theme="1"/>
        <rFont val="Calibri"/>
        <family val="2"/>
        <scheme val="minor"/>
      </rPr>
      <t>=COUNTIF(B$31:B$50,K54):</t>
    </r>
    <r>
      <rPr>
        <sz val="11"/>
        <color theme="1"/>
        <rFont val="Calibri"/>
        <family val="2"/>
        <scheme val="minor"/>
      </rPr>
      <t xml:space="preserve"> Range references should be</t>
    </r>
    <r>
      <rPr>
        <b/>
        <sz val="11"/>
        <color theme="1"/>
        <rFont val="Calibri"/>
        <family val="2"/>
        <scheme val="minor"/>
      </rPr>
      <t xml:space="preserve"> $ absolute</t>
    </r>
    <r>
      <rPr>
        <sz val="11"/>
        <color theme="1"/>
        <rFont val="Calibri"/>
        <family val="2"/>
        <scheme val="minor"/>
      </rPr>
      <t xml:space="preserve"> because if the references for the range are kept relative, the fill function will move the range downwards, including blank cells and missing the range where the data is.</t>
    </r>
  </si>
  <si>
    <r>
      <rPr>
        <b/>
        <sz val="11"/>
        <color theme="1"/>
        <rFont val="Calibri"/>
        <family val="2"/>
        <scheme val="minor"/>
      </rPr>
      <t>IF</t>
    </r>
    <r>
      <rPr>
        <sz val="11"/>
        <color theme="1"/>
        <rFont val="Calibri"/>
        <family val="2"/>
        <scheme val="minor"/>
      </rPr>
      <t xml:space="preserve"> function is a premade function in Excel, which returns values based on a true or false condition. </t>
    </r>
    <r>
      <rPr>
        <b/>
        <sz val="11"/>
        <color theme="1"/>
        <rFont val="Calibri"/>
        <family val="2"/>
        <scheme val="minor"/>
      </rPr>
      <t>=IF(logical_test, [value_if_true], [value_if_false])</t>
    </r>
  </si>
  <si>
    <r>
      <rPr>
        <b/>
        <sz val="11"/>
        <color theme="1"/>
        <rFont val="Calibri"/>
        <family val="2"/>
        <scheme val="minor"/>
      </rPr>
      <t>IFS</t>
    </r>
    <r>
      <rPr>
        <sz val="11"/>
        <color theme="1"/>
        <rFont val="Calibri"/>
        <family val="2"/>
        <scheme val="minor"/>
      </rPr>
      <t xml:space="preserve"> function is a premade function in Excel, which returns values based on one or more true or false conditions. </t>
    </r>
    <r>
      <rPr>
        <b/>
        <sz val="11"/>
        <color theme="1"/>
        <rFont val="Calibri"/>
        <family val="2"/>
        <scheme val="minor"/>
      </rPr>
      <t>=IFS(logical_test1, value_if_true1, [logical_test2, value_if_true2], [logical_test3; ...)</t>
    </r>
  </si>
  <si>
    <r>
      <t xml:space="preserve">IF function
</t>
    </r>
    <r>
      <rPr>
        <sz val="11"/>
        <color theme="1"/>
        <rFont val="Calibri"/>
        <family val="2"/>
        <scheme val="minor"/>
      </rPr>
      <t>=IF(C69&gt;400, "High", "Low")</t>
    </r>
  </si>
  <si>
    <r>
      <t xml:space="preserve">IFs function
</t>
    </r>
    <r>
      <rPr>
        <sz val="11"/>
        <color theme="1"/>
        <rFont val="Calibri"/>
        <family val="2"/>
        <scheme val="minor"/>
      </rPr>
      <t>=IFS(C69&gt;400,"High", C69&gt;=300,"Normal",C69&lt;300,"Low")</t>
    </r>
  </si>
  <si>
    <t>TRIM</t>
  </si>
  <si>
    <t>Function</t>
  </si>
  <si>
    <r>
      <t xml:space="preserve">LEFT Function with Defined Length of Characters
</t>
    </r>
    <r>
      <rPr>
        <sz val="11"/>
        <color theme="1"/>
        <rFont val="Calibri"/>
        <family val="2"/>
        <scheme val="minor"/>
      </rPr>
      <t>=LEFT(B81,4)</t>
    </r>
  </si>
  <si>
    <r>
      <t xml:space="preserve">LEFT 
</t>
    </r>
    <r>
      <rPr>
        <sz val="11"/>
        <color theme="1"/>
        <rFont val="Calibri"/>
        <family val="2"/>
        <scheme val="minor"/>
      </rPr>
      <t>=LEFT(B81)</t>
    </r>
  </si>
  <si>
    <t>FiGhTINg</t>
  </si>
  <si>
    <t>WATER</t>
  </si>
  <si>
    <t>GrASs</t>
  </si>
  <si>
    <t>WateR</t>
  </si>
  <si>
    <t>EleCTric</t>
  </si>
  <si>
    <t>WaTEr</t>
  </si>
  <si>
    <t>WAtEr</t>
  </si>
  <si>
    <t>RoCk</t>
  </si>
  <si>
    <t>DRAGON</t>
  </si>
  <si>
    <t>ManKey</t>
  </si>
  <si>
    <t>pOLIwRAth</t>
  </si>
  <si>
    <t>VICtreeBeL</t>
  </si>
  <si>
    <t>TentaCool</t>
  </si>
  <si>
    <t>MagNETon</t>
  </si>
  <si>
    <t>DeWgONg</t>
  </si>
  <si>
    <t>CloysTER</t>
  </si>
  <si>
    <t>OnIX</t>
  </si>
  <si>
    <t>DragONAir</t>
  </si>
  <si>
    <r>
      <t xml:space="preserve">LOWER
</t>
    </r>
    <r>
      <rPr>
        <sz val="11"/>
        <color theme="1"/>
        <rFont val="Calibri"/>
        <family val="2"/>
        <scheme val="minor"/>
      </rPr>
      <t>=LOWER(A93)</t>
    </r>
  </si>
  <si>
    <t>Define range to use LOWER function on multiple cells
=LOWER(A93:B101)</t>
  </si>
  <si>
    <r>
      <t xml:space="preserve">RIGHT
</t>
    </r>
    <r>
      <rPr>
        <sz val="11"/>
        <color theme="1"/>
        <rFont val="Calibri"/>
        <family val="2"/>
        <scheme val="minor"/>
      </rPr>
      <t>=RIGHT(B81)</t>
    </r>
  </si>
  <si>
    <r>
      <rPr>
        <b/>
        <sz val="11"/>
        <color theme="1"/>
        <rFont val="Calibri"/>
        <family val="2"/>
        <scheme val="minor"/>
      </rPr>
      <t>4 Characters</t>
    </r>
    <r>
      <rPr>
        <sz val="11"/>
        <color theme="1"/>
        <rFont val="Calibri"/>
        <family val="2"/>
        <scheme val="minor"/>
      </rPr>
      <t xml:space="preserve">
=RIGHT(B81,4)</t>
    </r>
  </si>
  <si>
    <r>
      <rPr>
        <b/>
        <sz val="11"/>
        <color theme="1"/>
        <rFont val="Calibri"/>
        <family val="2"/>
        <scheme val="minor"/>
      </rPr>
      <t xml:space="preserve">LEFT </t>
    </r>
    <r>
      <rPr>
        <sz val="11"/>
        <color theme="1"/>
        <rFont val="Calibri"/>
        <family val="2"/>
        <scheme val="minor"/>
      </rPr>
      <t xml:space="preserve">function is used to retrieve a chosen amount of characters, counting from the left side of an Excel cell. The chosen number has to be greater than 0 and is set to 1 by default. </t>
    </r>
    <r>
      <rPr>
        <b/>
        <sz val="11"/>
        <color theme="1"/>
        <rFont val="Calibri"/>
        <family val="2"/>
        <scheme val="minor"/>
      </rPr>
      <t>=LEFT(cell)</t>
    </r>
    <r>
      <rPr>
        <sz val="11"/>
        <color theme="1"/>
        <rFont val="Calibri"/>
        <family val="2"/>
        <scheme val="minor"/>
      </rPr>
      <t xml:space="preserve">
LEFT Function with a Defined Length of Characters. </t>
    </r>
    <r>
      <rPr>
        <b/>
        <sz val="11"/>
        <color theme="1"/>
        <rFont val="Calibri"/>
        <family val="2"/>
        <scheme val="minor"/>
      </rPr>
      <t>=LEFT(cell,3)</t>
    </r>
  </si>
  <si>
    <r>
      <rPr>
        <b/>
        <sz val="11"/>
        <color theme="1"/>
        <rFont val="Calibri"/>
        <family val="2"/>
        <scheme val="minor"/>
      </rPr>
      <t>RIGHT</t>
    </r>
    <r>
      <rPr>
        <sz val="11"/>
        <color theme="1"/>
        <rFont val="Calibri"/>
        <family val="2"/>
        <scheme val="minor"/>
      </rPr>
      <t xml:space="preserve"> function is used to retrieve a chosen amount of characters, counting from the right side of an Excel cell. The chosen number has to be greater than 0 and is set to 1 by default. </t>
    </r>
    <r>
      <rPr>
        <b/>
        <sz val="11"/>
        <color theme="1"/>
        <rFont val="Calibri"/>
        <family val="2"/>
        <scheme val="minor"/>
      </rPr>
      <t>=RIGHT(cell)</t>
    </r>
  </si>
  <si>
    <r>
      <rPr>
        <b/>
        <sz val="11"/>
        <color theme="1"/>
        <rFont val="Calibri"/>
        <family val="2"/>
        <scheme val="minor"/>
      </rPr>
      <t>SUM</t>
    </r>
    <r>
      <rPr>
        <sz val="11"/>
        <color theme="1"/>
        <rFont val="Calibri"/>
        <family val="2"/>
        <scheme val="minor"/>
      </rPr>
      <t xml:space="preserve"> function is a premade function in Excel, which adds numbers in a range. </t>
    </r>
    <r>
      <rPr>
        <b/>
        <sz val="11"/>
        <color theme="1"/>
        <rFont val="Calibri"/>
        <family val="2"/>
        <scheme val="minor"/>
      </rPr>
      <t>=SUM(cellnumber1:cellnumber6)</t>
    </r>
  </si>
  <si>
    <r>
      <rPr>
        <b/>
        <sz val="11"/>
        <color theme="1"/>
        <rFont val="Calibri"/>
        <family val="2"/>
        <scheme val="minor"/>
      </rPr>
      <t>SUMIF</t>
    </r>
    <r>
      <rPr>
        <sz val="11"/>
        <color theme="1"/>
        <rFont val="Calibri"/>
        <family val="2"/>
        <scheme val="minor"/>
      </rPr>
      <t xml:space="preserve">
=SUMIF(C93:C101)</t>
    </r>
  </si>
  <si>
    <t>TYPES</t>
  </si>
  <si>
    <r>
      <rPr>
        <b/>
        <sz val="11"/>
        <color theme="1"/>
        <rFont val="Calibri"/>
        <family val="2"/>
        <scheme val="minor"/>
      </rPr>
      <t xml:space="preserve">SUMIF </t>
    </r>
    <r>
      <rPr>
        <sz val="11"/>
        <color theme="1"/>
        <rFont val="Calibri"/>
        <family val="2"/>
        <scheme val="minor"/>
      </rPr>
      <t xml:space="preserve">function is a premade function in Excel, which calculates the sum of values in a range based on a true or false condition. </t>
    </r>
    <r>
      <rPr>
        <b/>
        <sz val="11"/>
        <color theme="1"/>
        <rFont val="Calibri"/>
        <family val="2"/>
        <scheme val="minor"/>
      </rPr>
      <t>=SUMIF(range, criteria, [sum_range])</t>
    </r>
  </si>
  <si>
    <t>MAX</t>
  </si>
  <si>
    <t>MIN</t>
  </si>
  <si>
    <t>MEDIAN</t>
  </si>
  <si>
    <r>
      <rPr>
        <b/>
        <sz val="11"/>
        <color theme="1"/>
        <rFont val="Calibri"/>
        <family val="2"/>
        <scheme val="minor"/>
      </rPr>
      <t>SUM</t>
    </r>
    <r>
      <rPr>
        <sz val="11"/>
        <color theme="1"/>
        <rFont val="Calibri"/>
        <family val="2"/>
        <scheme val="minor"/>
      </rPr>
      <t xml:space="preserve">
=SUM(B102:B110)</t>
    </r>
  </si>
  <si>
    <r>
      <rPr>
        <b/>
        <sz val="11"/>
        <color theme="1"/>
        <rFont val="Calibri"/>
        <family val="2"/>
        <scheme val="minor"/>
      </rPr>
      <t xml:space="preserve">MAX </t>
    </r>
    <r>
      <rPr>
        <sz val="11"/>
        <color theme="1"/>
        <rFont val="Calibri"/>
        <family val="2"/>
        <scheme val="minor"/>
      </rPr>
      <t xml:space="preserve">function is a premade function in Excel, which finds the highest number in a range. </t>
    </r>
    <r>
      <rPr>
        <b/>
        <sz val="11"/>
        <color theme="1"/>
        <rFont val="Calibri"/>
        <family val="2"/>
        <scheme val="minor"/>
      </rPr>
      <t>=MAX(cell range)</t>
    </r>
  </si>
  <si>
    <r>
      <rPr>
        <b/>
        <sz val="11"/>
        <color theme="1"/>
        <rFont val="Calibri"/>
        <family val="2"/>
        <scheme val="minor"/>
      </rPr>
      <t>MEDIAN</t>
    </r>
    <r>
      <rPr>
        <sz val="11"/>
        <color theme="1"/>
        <rFont val="Calibri"/>
        <family val="2"/>
        <scheme val="minor"/>
      </rPr>
      <t xml:space="preserve"> function is a premade function in Excel, which returns the middle value in the data.</t>
    </r>
    <r>
      <rPr>
        <b/>
        <sz val="11"/>
        <color theme="1"/>
        <rFont val="Calibri"/>
        <family val="2"/>
        <scheme val="minor"/>
      </rPr>
      <t xml:space="preserve"> =MEDIAN(cellrange)</t>
    </r>
  </si>
  <si>
    <r>
      <rPr>
        <b/>
        <sz val="11"/>
        <color theme="1"/>
        <rFont val="Calibri"/>
        <family val="2"/>
        <scheme val="minor"/>
      </rPr>
      <t>MIN</t>
    </r>
    <r>
      <rPr>
        <sz val="11"/>
        <color theme="1"/>
        <rFont val="Calibri"/>
        <family val="2"/>
        <scheme val="minor"/>
      </rPr>
      <t xml:space="preserve"> function is a premade function in Excel, which finds the lowest number in a range. </t>
    </r>
    <r>
      <rPr>
        <b/>
        <sz val="11"/>
        <color theme="1"/>
        <rFont val="Calibri"/>
        <family val="2"/>
        <scheme val="minor"/>
      </rPr>
      <t>=MIN(cell range)</t>
    </r>
  </si>
  <si>
    <r>
      <rPr>
        <b/>
        <sz val="11"/>
        <color theme="1"/>
        <rFont val="Calibri"/>
        <family val="2"/>
        <scheme val="minor"/>
      </rPr>
      <t>MODE</t>
    </r>
    <r>
      <rPr>
        <sz val="11"/>
        <color theme="1"/>
        <rFont val="Calibri"/>
        <family val="2"/>
        <scheme val="minor"/>
      </rPr>
      <t xml:space="preserve"> function is a premade function in Excel, which is used to find the number seen most times.</t>
    </r>
  </si>
  <si>
    <t>MODE</t>
  </si>
  <si>
    <t>Note: The mode is a type of average value, which describes where most of the data is located.</t>
  </si>
  <si>
    <t>Ultiball</t>
  </si>
  <si>
    <r>
      <rPr>
        <b/>
        <sz val="11"/>
        <color theme="1"/>
        <rFont val="Calibri"/>
        <family val="2"/>
        <scheme val="minor"/>
      </rPr>
      <t>NPV</t>
    </r>
    <r>
      <rPr>
        <sz val="11"/>
        <color theme="1"/>
        <rFont val="Calibri"/>
        <family val="2"/>
        <scheme val="minor"/>
      </rPr>
      <t xml:space="preserve"> function is used to calculate the Net Present Value (NPV). </t>
    </r>
    <r>
      <rPr>
        <b/>
        <sz val="11"/>
        <color theme="1"/>
        <rFont val="Calibri"/>
        <family val="2"/>
        <scheme val="minor"/>
      </rPr>
      <t>=NPV(rate, value1, value2, ...)</t>
    </r>
  </si>
  <si>
    <t>XOR Functions</t>
  </si>
  <si>
    <r>
      <rPr>
        <b/>
        <sz val="11"/>
        <color theme="1"/>
        <rFont val="Calibri"/>
        <family val="2"/>
        <scheme val="minor"/>
      </rPr>
      <t>XOR</t>
    </r>
    <r>
      <rPr>
        <sz val="11"/>
        <color theme="1"/>
        <rFont val="Calibri"/>
        <family val="2"/>
        <scheme val="minor"/>
      </rPr>
      <t xml:space="preserve"> function is a premade function in Excel, which returns TRUE or FALSE based on two or more conditions. </t>
    </r>
    <r>
      <rPr>
        <b/>
        <sz val="11"/>
        <color theme="1"/>
        <rFont val="Calibri"/>
        <family val="2"/>
        <scheme val="minor"/>
      </rPr>
      <t xml:space="preserve">Note: </t>
    </r>
    <r>
      <rPr>
        <sz val="11"/>
        <color theme="1"/>
        <rFont val="Calibri"/>
        <family val="2"/>
        <scheme val="minor"/>
      </rPr>
      <t xml:space="preserve">For two conditions, you can think of the XOR function as: "either this or that, but not both"
</t>
    </r>
    <r>
      <rPr>
        <b/>
        <sz val="11"/>
        <color theme="1"/>
        <rFont val="Calibri"/>
        <family val="2"/>
        <scheme val="minor"/>
      </rPr>
      <t>T, T = F     /     T, F = T    /     F, T = T    /    F, F = F</t>
    </r>
  </si>
  <si>
    <t>=XOR(B4="Fire",C4&lt;=60)</t>
  </si>
  <si>
    <t>Fire Type XOR less than 60</t>
  </si>
  <si>
    <t>CO</t>
  </si>
  <si>
    <t>NY</t>
  </si>
  <si>
    <t>CA</t>
  </si>
  <si>
    <t>WY</t>
  </si>
  <si>
    <t>State Code</t>
  </si>
  <si>
    <t>Population</t>
  </si>
  <si>
    <t>State Name</t>
  </si>
  <si>
    <t>Colorado</t>
  </si>
  <si>
    <t>NE</t>
  </si>
  <si>
    <t>Nebraska</t>
  </si>
  <si>
    <t>New York</t>
  </si>
  <si>
    <t>TX</t>
  </si>
  <si>
    <t>Texas</t>
  </si>
  <si>
    <t>California</t>
  </si>
  <si>
    <t>Wayming</t>
  </si>
  <si>
    <r>
      <t xml:space="preserve">VLOOKUP function is a premade function in Excel, which allows searches across columns. </t>
    </r>
    <r>
      <rPr>
        <b/>
        <sz val="11"/>
        <color theme="1"/>
        <rFont val="Calibri"/>
        <family val="2"/>
        <scheme val="minor"/>
      </rPr>
      <t>=VLOOKUP(lookup_value, table_array, col_index_num, [range_lookup])</t>
    </r>
    <r>
      <rPr>
        <sz val="11"/>
        <color theme="1"/>
        <rFont val="Calibri"/>
        <family val="2"/>
        <scheme val="minor"/>
      </rPr>
      <t xml:space="preserve">
=VLOOKUP(lookup value, range containing the lookup value, the column number in the range containing the return value, Approximate match (TRUE) or Exact match (FALSE)).</t>
    </r>
  </si>
  <si>
    <t>Lookup_value: Select the cell where search values will be entered.
Table_array: The table range, including all cells in the table.
Col_index_num: The data which is being looked up. The input is the number of the column, counted from the left.
Range_lookup: TRUE if numbers (1) or FALSE if text (0).</t>
  </si>
  <si>
    <r>
      <rPr>
        <b/>
        <sz val="11"/>
        <color theme="1"/>
        <rFont val="Calibri"/>
        <family val="2"/>
        <scheme val="minor"/>
      </rPr>
      <t xml:space="preserve">RAND </t>
    </r>
    <r>
      <rPr>
        <sz val="11"/>
        <color theme="1"/>
        <rFont val="Calibri"/>
        <family val="2"/>
        <scheme val="minor"/>
      </rPr>
      <t xml:space="preserve">function is used to generate random numbers. Rand can be used to generate any random number. You can define limits, create random data sets and much more. 
To receive a random number: </t>
    </r>
    <r>
      <rPr>
        <b/>
        <sz val="11"/>
        <color theme="1"/>
        <rFont val="Calibri"/>
        <family val="2"/>
        <scheme val="minor"/>
      </rPr>
      <t xml:space="preserve">=RAND()*value | </t>
    </r>
    <r>
      <rPr>
        <sz val="11"/>
        <color theme="1"/>
        <rFont val="Calibri"/>
        <family val="2"/>
        <scheme val="minor"/>
      </rPr>
      <t>Example to generate numbers between 0 and 10: =RAND()*10</t>
    </r>
    <r>
      <rPr>
        <b/>
        <sz val="11"/>
        <color theme="1"/>
        <rFont val="Calibri"/>
        <family val="2"/>
        <scheme val="minor"/>
      </rPr>
      <t xml:space="preserve">
</t>
    </r>
    <r>
      <rPr>
        <sz val="11"/>
        <color theme="1"/>
        <rFont val="Calibri"/>
        <family val="2"/>
        <scheme val="minor"/>
      </rPr>
      <t>To receive Whole number:</t>
    </r>
    <r>
      <rPr>
        <b/>
        <sz val="11"/>
        <color theme="1"/>
        <rFont val="Calibri"/>
        <family val="2"/>
        <scheme val="minor"/>
      </rPr>
      <t xml:space="preserve"> =INT(RAND())</t>
    </r>
  </si>
  <si>
    <t>TEST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</si>
</sst>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164" formatCode="&quot;$&quot;#,##0"/>
    <numFmt numFmtId="165" formatCode="_(&quot;$&quot;* #,##0_);_(&quot;$&quot;* \(#,##0\);_(&quot;$&quot;* &quot;-&quot;??_);_(@_)"/>
  </numFmts>
  <fonts count="13" x14ac:knownFonts="1">
    <font>
      <sz val="11"/>
      <color theme="1"/>
      <name val="Calibri"/>
      <family val="2"/>
      <scheme val="minor"/>
    </font>
    <font>
      <b/>
      <sz val="11"/>
      <color theme="1"/>
      <name val="Calibri"/>
      <family val="2"/>
      <scheme val="minor"/>
    </font>
    <font>
      <b/>
      <sz val="14"/>
      <color theme="1"/>
      <name val="Calibri"/>
      <family val="2"/>
      <scheme val="minor"/>
    </font>
    <font>
      <sz val="14"/>
      <color theme="1"/>
      <name val="Calibri"/>
      <family val="2"/>
      <scheme val="minor"/>
    </font>
    <font>
      <b/>
      <sz val="16"/>
      <color theme="1"/>
      <name val="Calibri"/>
      <family val="2"/>
      <scheme val="minor"/>
    </font>
    <font>
      <sz val="11"/>
      <color rgb="FFFF0000"/>
      <name val="Calibri"/>
      <family val="2"/>
      <scheme val="minor"/>
    </font>
    <font>
      <b/>
      <sz val="11"/>
      <color rgb="FFFF0000"/>
      <name val="Calibri"/>
      <family val="2"/>
      <scheme val="minor"/>
    </font>
    <font>
      <b/>
      <sz val="12"/>
      <color theme="1"/>
      <name val="Calibri"/>
      <family val="2"/>
      <scheme val="minor"/>
    </font>
    <font>
      <sz val="12"/>
      <color theme="1"/>
      <name val="Calibri"/>
      <family val="2"/>
      <scheme val="minor"/>
    </font>
    <font>
      <b/>
      <sz val="11"/>
      <name val="Calibri"/>
      <family val="2"/>
      <scheme val="minor"/>
    </font>
    <font>
      <b/>
      <u/>
      <sz val="14"/>
      <color theme="1"/>
      <name val="Calibri"/>
      <family val="2"/>
      <scheme val="minor"/>
    </font>
    <font>
      <sz val="11"/>
      <color theme="1"/>
      <name val="Calibri"/>
      <family val="2"/>
      <scheme val="minor"/>
    </font>
    <font>
      <sz val="11"/>
      <color rgb="FF000000"/>
      <name val="Calibri"/>
      <family val="2"/>
      <scheme val="minor"/>
    </font>
  </fonts>
  <fills count="13">
    <fill>
      <patternFill patternType="none"/>
    </fill>
    <fill>
      <patternFill patternType="gray125"/>
    </fill>
    <fill>
      <patternFill patternType="solid">
        <fgColor rgb="FFFFFF00"/>
        <bgColor indexed="64"/>
      </patternFill>
    </fill>
    <fill>
      <patternFill patternType="solid">
        <fgColor rgb="FFFFFFCC"/>
        <bgColor indexed="64"/>
      </patternFill>
    </fill>
    <fill>
      <patternFill patternType="solid">
        <fgColor theme="4" tint="0.79998168889431442"/>
        <bgColor theme="4" tint="0.79998168889431442"/>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CCFF"/>
        <bgColor indexed="64"/>
      </patternFill>
    </fill>
    <fill>
      <patternFill patternType="solid">
        <fgColor theme="8" tint="0.79998168889431442"/>
        <bgColor indexed="64"/>
      </patternFill>
    </fill>
    <fill>
      <patternFill patternType="solid">
        <fgColor rgb="FF99FFCC"/>
        <bgColor indexed="64"/>
      </patternFill>
    </fill>
    <fill>
      <patternFill patternType="solid">
        <fgColor rgb="FFCCFFCC"/>
        <bgColor indexed="64"/>
      </patternFill>
    </fill>
    <fill>
      <patternFill patternType="solid">
        <fgColor rgb="FF99FF99"/>
        <bgColor indexed="64"/>
      </patternFill>
    </fill>
    <fill>
      <patternFill patternType="solid">
        <fgColor theme="9" tint="0.79998168889431442"/>
        <bgColor indexed="64"/>
      </patternFill>
    </fill>
  </fills>
  <borders count="75">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medium">
        <color indexed="64"/>
      </right>
      <top style="medium">
        <color indexed="64"/>
      </top>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medium">
        <color indexed="64"/>
      </left>
      <right/>
      <top style="thin">
        <color indexed="64"/>
      </top>
      <bottom style="thin">
        <color indexed="64"/>
      </bottom>
      <diagonal/>
    </border>
    <border>
      <left/>
      <right/>
      <top style="thin">
        <color theme="4" tint="0.39997558519241921"/>
      </top>
      <bottom/>
      <diagonal/>
    </border>
    <border>
      <left style="medium">
        <color indexed="64"/>
      </left>
      <right/>
      <top style="thin">
        <color theme="4" tint="0.39997558519241921"/>
      </top>
      <bottom style="medium">
        <color indexed="64"/>
      </bottom>
      <diagonal/>
    </border>
    <border>
      <left/>
      <right/>
      <top style="thin">
        <color theme="4" tint="0.39997558519241921"/>
      </top>
      <bottom style="medium">
        <color indexed="64"/>
      </bottom>
      <diagonal/>
    </border>
    <border>
      <left/>
      <right style="medium">
        <color indexed="64"/>
      </right>
      <top style="thin">
        <color theme="4" tint="0.39997558519241921"/>
      </top>
      <bottom style="medium">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top style="thin">
        <color theme="4" tint="0.39997558519241921"/>
      </top>
      <bottom/>
      <diagonal/>
    </border>
    <border>
      <left/>
      <right style="medium">
        <color indexed="64"/>
      </right>
      <top style="thin">
        <color theme="4" tint="0.39997558519241921"/>
      </top>
      <bottom/>
      <diagonal/>
    </border>
    <border>
      <left style="thin">
        <color indexed="64"/>
      </left>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top style="medium">
        <color indexed="64"/>
      </top>
      <bottom style="thin">
        <color indexed="64"/>
      </bottom>
      <diagonal/>
    </border>
    <border>
      <left style="thin">
        <color indexed="64"/>
      </left>
      <right/>
      <top style="medium">
        <color indexed="64"/>
      </top>
      <bottom style="medium">
        <color indexed="64"/>
      </bottom>
      <diagonal/>
    </border>
    <border>
      <left style="thin">
        <color indexed="64"/>
      </left>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right style="medium">
        <color indexed="64"/>
      </right>
      <top/>
      <bottom style="thin">
        <color indexed="64"/>
      </bottom>
      <diagonal/>
    </border>
    <border>
      <left/>
      <right style="medium">
        <color indexed="64"/>
      </right>
      <top style="medium">
        <color indexed="64"/>
      </top>
      <bottom style="thin">
        <color indexed="64"/>
      </bottom>
      <diagonal/>
    </border>
    <border>
      <left/>
      <right style="medium">
        <color indexed="64"/>
      </right>
      <top/>
      <bottom/>
      <diagonal/>
    </border>
    <border>
      <left style="thin">
        <color indexed="64"/>
      </left>
      <right style="medium">
        <color indexed="64"/>
      </right>
      <top style="thin">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bottom/>
      <diagonal/>
    </border>
    <border>
      <left style="thin">
        <color indexed="64"/>
      </left>
      <right/>
      <top/>
      <bottom style="medium">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s>
  <cellStyleXfs count="2">
    <xf numFmtId="0" fontId="0" fillId="0" borderId="0"/>
    <xf numFmtId="44" fontId="11" fillId="0" borderId="0" applyFont="0" applyFill="0" applyBorder="0" applyAlignment="0" applyProtection="0"/>
  </cellStyleXfs>
  <cellXfs count="324">
    <xf numFmtId="0" fontId="0" fillId="0" borderId="0" xfId="0"/>
    <xf numFmtId="0" fontId="0" fillId="0" borderId="1" xfId="0" applyBorder="1"/>
    <xf numFmtId="0" fontId="2" fillId="0" borderId="0" xfId="0" applyFont="1"/>
    <xf numFmtId="0" fontId="0" fillId="2" borderId="0" xfId="0" applyFill="1"/>
    <xf numFmtId="0" fontId="0" fillId="2" borderId="1" xfId="0" applyFill="1" applyBorder="1"/>
    <xf numFmtId="0" fontId="0" fillId="0" borderId="0" xfId="0" applyAlignment="1">
      <alignment horizontal="right"/>
    </xf>
    <xf numFmtId="0" fontId="1" fillId="0" borderId="0" xfId="0" quotePrefix="1" applyFont="1"/>
    <xf numFmtId="0" fontId="0" fillId="0" borderId="1" xfId="0" quotePrefix="1" applyBorder="1"/>
    <xf numFmtId="0" fontId="3" fillId="0" borderId="0" xfId="0" quotePrefix="1" applyFont="1"/>
    <xf numFmtId="0" fontId="0" fillId="0" borderId="0" xfId="0" applyAlignment="1">
      <alignment wrapText="1"/>
    </xf>
    <xf numFmtId="0" fontId="1" fillId="0" borderId="0" xfId="0" applyFont="1"/>
    <xf numFmtId="0" fontId="0" fillId="0" borderId="0" xfId="0" applyAlignment="1">
      <alignment horizontal="center" vertical="center"/>
    </xf>
    <xf numFmtId="0" fontId="0" fillId="0" borderId="0" xfId="0" pivotButton="1"/>
    <xf numFmtId="0" fontId="0" fillId="0" borderId="0" xfId="0" applyAlignment="1">
      <alignment horizontal="left"/>
    </xf>
    <xf numFmtId="14" fontId="0" fillId="0" borderId="0" xfId="0" applyNumberFormat="1"/>
    <xf numFmtId="0" fontId="0" fillId="0" borderId="0" xfId="0" applyAlignment="1">
      <alignment horizontal="left" indent="1"/>
    </xf>
    <xf numFmtId="0" fontId="0" fillId="0" borderId="0" xfId="0" quotePrefix="1"/>
    <xf numFmtId="0" fontId="0" fillId="0" borderId="15" xfId="0" applyBorder="1" applyAlignment="1">
      <alignment vertical="center" wrapText="1"/>
    </xf>
    <xf numFmtId="0" fontId="0" fillId="0" borderId="1" xfId="0" applyBorder="1" applyAlignment="1">
      <alignment vertical="center" wrapText="1"/>
    </xf>
    <xf numFmtId="0" fontId="0" fillId="0" borderId="15" xfId="0" quotePrefix="1" applyBorder="1" applyAlignment="1">
      <alignment vertical="center" wrapText="1"/>
    </xf>
    <xf numFmtId="0" fontId="0" fillId="0" borderId="11" xfId="0" applyBorder="1" applyAlignment="1">
      <alignment horizontal="left" vertical="center" wrapText="1"/>
    </xf>
    <xf numFmtId="0" fontId="0" fillId="0" borderId="11" xfId="0" quotePrefix="1" applyBorder="1" applyAlignment="1">
      <alignment vertical="center" wrapText="1"/>
    </xf>
    <xf numFmtId="0" fontId="0" fillId="0" borderId="8" xfId="0" applyBorder="1" applyAlignment="1">
      <alignment horizontal="left" vertical="center" wrapText="1"/>
    </xf>
    <xf numFmtId="0" fontId="1" fillId="3" borderId="2" xfId="0" applyFont="1" applyFill="1" applyBorder="1" applyAlignment="1">
      <alignment horizontal="left" vertical="center" wrapText="1"/>
    </xf>
    <xf numFmtId="0" fontId="0" fillId="0" borderId="20" xfId="0" applyBorder="1" applyAlignment="1">
      <alignment horizontal="center" vertical="center"/>
    </xf>
    <xf numFmtId="0" fontId="0" fillId="0" borderId="21" xfId="0" applyBorder="1" applyAlignment="1">
      <alignment horizontal="center" vertical="center"/>
    </xf>
    <xf numFmtId="0" fontId="1" fillId="0" borderId="21" xfId="0" applyFont="1" applyBorder="1" applyAlignment="1">
      <alignment horizontal="center" vertical="center"/>
    </xf>
    <xf numFmtId="0" fontId="0" fillId="0" borderId="7" xfId="0" applyBorder="1"/>
    <xf numFmtId="0" fontId="0" fillId="0" borderId="10" xfId="0" applyBorder="1"/>
    <xf numFmtId="14" fontId="0" fillId="4" borderId="33" xfId="0" applyNumberFormat="1" applyFill="1" applyBorder="1"/>
    <xf numFmtId="0" fontId="0" fillId="4" borderId="27" xfId="0" applyFill="1" applyBorder="1"/>
    <xf numFmtId="0" fontId="0" fillId="4" borderId="34" xfId="0" applyFill="1" applyBorder="1"/>
    <xf numFmtId="14" fontId="0" fillId="0" borderId="33" xfId="0" applyNumberFormat="1" applyBorder="1"/>
    <xf numFmtId="0" fontId="0" fillId="0" borderId="27" xfId="0" applyBorder="1"/>
    <xf numFmtId="0" fontId="0" fillId="0" borderId="34" xfId="0" applyBorder="1"/>
    <xf numFmtId="14" fontId="0" fillId="4" borderId="28" xfId="0" applyNumberFormat="1" applyFill="1" applyBorder="1"/>
    <xf numFmtId="0" fontId="0" fillId="4" borderId="29" xfId="0" applyFill="1" applyBorder="1"/>
    <xf numFmtId="0" fontId="0" fillId="4" borderId="30" xfId="0" applyFill="1" applyBorder="1"/>
    <xf numFmtId="14" fontId="0" fillId="0" borderId="6" xfId="0" applyNumberFormat="1" applyBorder="1"/>
    <xf numFmtId="14" fontId="9" fillId="4" borderId="35" xfId="0" applyNumberFormat="1" applyFont="1" applyFill="1" applyBorder="1"/>
    <xf numFmtId="0" fontId="9" fillId="4" borderId="35" xfId="0" applyFont="1" applyFill="1" applyBorder="1"/>
    <xf numFmtId="0" fontId="9" fillId="4" borderId="9" xfId="0" applyFont="1" applyFill="1" applyBorder="1"/>
    <xf numFmtId="0" fontId="0" fillId="0" borderId="12" xfId="0" applyBorder="1" applyAlignment="1">
      <alignment horizontal="left" vertical="center"/>
    </xf>
    <xf numFmtId="0" fontId="0" fillId="0" borderId="15" xfId="0" applyBorder="1" applyAlignment="1">
      <alignment horizontal="left" vertical="center"/>
    </xf>
    <xf numFmtId="0" fontId="0" fillId="4" borderId="1" xfId="0" applyFill="1" applyBorder="1" applyAlignment="1">
      <alignment horizontal="left" vertical="center"/>
    </xf>
    <xf numFmtId="0" fontId="0" fillId="0" borderId="1" xfId="0" applyBorder="1" applyAlignment="1">
      <alignment horizontal="left" vertical="center"/>
    </xf>
    <xf numFmtId="0" fontId="0" fillId="0" borderId="16" xfId="0" applyBorder="1" applyAlignment="1">
      <alignment horizontal="left" vertical="center"/>
    </xf>
    <xf numFmtId="0" fontId="0" fillId="0" borderId="17" xfId="0" applyBorder="1" applyAlignment="1">
      <alignment horizontal="left" vertical="center"/>
    </xf>
    <xf numFmtId="0" fontId="0" fillId="0" borderId="18" xfId="0" applyBorder="1" applyAlignment="1">
      <alignment horizontal="left" vertical="center"/>
    </xf>
    <xf numFmtId="0" fontId="0" fillId="0" borderId="19" xfId="0" applyBorder="1" applyAlignment="1">
      <alignment horizontal="left" vertical="center"/>
    </xf>
    <xf numFmtId="0" fontId="0" fillId="0" borderId="36" xfId="0" applyBorder="1" applyAlignment="1">
      <alignment horizontal="left" vertical="center"/>
    </xf>
    <xf numFmtId="0" fontId="0" fillId="4" borderId="8" xfId="0" applyFill="1" applyBorder="1" applyAlignment="1">
      <alignment horizontal="left" vertical="center"/>
    </xf>
    <xf numFmtId="0" fontId="0" fillId="0" borderId="8" xfId="0" applyBorder="1" applyAlignment="1">
      <alignment horizontal="left" vertical="center"/>
    </xf>
    <xf numFmtId="0" fontId="0" fillId="0" borderId="37" xfId="0" applyBorder="1" applyAlignment="1">
      <alignment horizontal="left" vertical="center"/>
    </xf>
    <xf numFmtId="0" fontId="0" fillId="0" borderId="38" xfId="0" applyBorder="1" applyAlignment="1">
      <alignment horizontal="left" vertical="center"/>
    </xf>
    <xf numFmtId="0" fontId="1" fillId="0" borderId="39" xfId="0" applyFont="1" applyBorder="1" applyAlignment="1">
      <alignment horizontal="left" vertical="center"/>
    </xf>
    <xf numFmtId="0" fontId="1" fillId="0" borderId="40" xfId="0" applyFont="1" applyBorder="1" applyAlignment="1">
      <alignment horizontal="left" vertical="center"/>
    </xf>
    <xf numFmtId="0" fontId="0" fillId="3" borderId="0" xfId="0" applyFill="1"/>
    <xf numFmtId="0" fontId="0" fillId="0" borderId="13" xfId="0" applyBorder="1" applyAlignment="1">
      <alignment horizontal="left" vertical="center"/>
    </xf>
    <xf numFmtId="0" fontId="1" fillId="0" borderId="0" xfId="0" applyFont="1" applyAlignment="1">
      <alignment horizontal="left" vertical="center"/>
    </xf>
    <xf numFmtId="0" fontId="0" fillId="0" borderId="0" xfId="0" applyAlignment="1">
      <alignment horizontal="left" vertical="center"/>
    </xf>
    <xf numFmtId="0" fontId="0" fillId="0" borderId="0" xfId="0" applyAlignment="1">
      <alignment horizontal="right" vertical="center"/>
    </xf>
    <xf numFmtId="0" fontId="0" fillId="5" borderId="0" xfId="0" applyFill="1" applyAlignment="1">
      <alignment horizontal="right" vertical="center"/>
    </xf>
    <xf numFmtId="49" fontId="1" fillId="0" borderId="2" xfId="0" quotePrefix="1" applyNumberFormat="1" applyFont="1" applyBorder="1" applyAlignment="1">
      <alignment wrapText="1"/>
    </xf>
    <xf numFmtId="0" fontId="0" fillId="0" borderId="0" xfId="0" quotePrefix="1" applyAlignment="1">
      <alignment wrapText="1"/>
    </xf>
    <xf numFmtId="0" fontId="0" fillId="0" borderId="11" xfId="0" applyBorder="1" applyAlignment="1">
      <alignment horizontal="left" vertical="center"/>
    </xf>
    <xf numFmtId="0" fontId="0" fillId="0" borderId="41" xfId="0" applyBorder="1" applyAlignment="1">
      <alignment horizontal="left" vertical="center"/>
    </xf>
    <xf numFmtId="0" fontId="0" fillId="0" borderId="42" xfId="0" applyBorder="1" applyAlignment="1">
      <alignment horizontal="right"/>
    </xf>
    <xf numFmtId="0" fontId="0" fillId="0" borderId="43" xfId="0" applyBorder="1" applyAlignment="1">
      <alignment horizontal="left" vertical="center"/>
    </xf>
    <xf numFmtId="0" fontId="0" fillId="0" borderId="32" xfId="0" applyBorder="1" applyAlignment="1">
      <alignment horizontal="left" vertical="center"/>
    </xf>
    <xf numFmtId="0" fontId="0" fillId="0" borderId="31" xfId="0" applyBorder="1" applyAlignment="1">
      <alignment horizontal="left" vertical="center"/>
    </xf>
    <xf numFmtId="0" fontId="0" fillId="0" borderId="44" xfId="0" applyBorder="1" applyAlignment="1">
      <alignment horizontal="left" vertical="center"/>
    </xf>
    <xf numFmtId="16" fontId="0" fillId="0" borderId="14" xfId="0" applyNumberFormat="1" applyBorder="1"/>
    <xf numFmtId="16" fontId="0" fillId="0" borderId="16" xfId="0" applyNumberFormat="1" applyBorder="1"/>
    <xf numFmtId="16" fontId="0" fillId="0" borderId="19" xfId="0" applyNumberFormat="1" applyBorder="1"/>
    <xf numFmtId="0" fontId="0" fillId="0" borderId="15"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36" xfId="0" applyBorder="1"/>
    <xf numFmtId="0" fontId="0" fillId="0" borderId="8" xfId="0" applyBorder="1"/>
    <xf numFmtId="0" fontId="1" fillId="3" borderId="40" xfId="0" applyFont="1" applyFill="1" applyBorder="1"/>
    <xf numFmtId="0" fontId="0" fillId="0" borderId="46" xfId="0" applyBorder="1"/>
    <xf numFmtId="0" fontId="0" fillId="0" borderId="11" xfId="0" applyBorder="1"/>
    <xf numFmtId="0" fontId="0" fillId="0" borderId="21" xfId="0" applyBorder="1"/>
    <xf numFmtId="0" fontId="0" fillId="0" borderId="47" xfId="0" applyBorder="1"/>
    <xf numFmtId="0" fontId="0" fillId="0" borderId="48" xfId="0" applyBorder="1"/>
    <xf numFmtId="0" fontId="0" fillId="0" borderId="49" xfId="0" applyBorder="1"/>
    <xf numFmtId="0" fontId="0" fillId="0" borderId="26" xfId="0" applyBorder="1"/>
    <xf numFmtId="0" fontId="0" fillId="0" borderId="50" xfId="0" applyBorder="1"/>
    <xf numFmtId="0" fontId="0" fillId="0" borderId="38" xfId="0" applyBorder="1" applyAlignment="1">
      <alignment horizontal="center" vertical="center"/>
    </xf>
    <xf numFmtId="0" fontId="0" fillId="0" borderId="39" xfId="0" applyBorder="1" applyAlignment="1">
      <alignment horizontal="center" vertical="center"/>
    </xf>
    <xf numFmtId="0" fontId="1" fillId="3" borderId="45" xfId="0" applyFont="1" applyFill="1" applyBorder="1" applyAlignment="1">
      <alignment horizontal="center" vertical="center" wrapText="1"/>
    </xf>
    <xf numFmtId="0" fontId="1" fillId="3" borderId="3" xfId="0" applyFont="1" applyFill="1" applyBorder="1" applyAlignment="1">
      <alignment horizontal="center" vertical="center"/>
    </xf>
    <xf numFmtId="0" fontId="1" fillId="3" borderId="2" xfId="0" applyFont="1" applyFill="1" applyBorder="1" applyAlignment="1">
      <alignment horizontal="center" vertical="center" wrapText="1"/>
    </xf>
    <xf numFmtId="0" fontId="0" fillId="0" borderId="37" xfId="0" applyBorder="1"/>
    <xf numFmtId="0" fontId="0" fillId="3" borderId="51" xfId="0" applyFill="1" applyBorder="1"/>
    <xf numFmtId="0" fontId="0" fillId="3" borderId="52" xfId="0" applyFill="1" applyBorder="1"/>
    <xf numFmtId="0" fontId="0" fillId="3" borderId="53" xfId="0" applyFill="1" applyBorder="1"/>
    <xf numFmtId="164" fontId="0" fillId="3" borderId="8" xfId="0" applyNumberFormat="1" applyFill="1" applyBorder="1"/>
    <xf numFmtId="0" fontId="1" fillId="3" borderId="15" xfId="0" applyFont="1" applyFill="1" applyBorder="1"/>
    <xf numFmtId="0" fontId="1" fillId="3" borderId="17" xfId="0" applyFont="1" applyFill="1" applyBorder="1"/>
    <xf numFmtId="0" fontId="0" fillId="0" borderId="40" xfId="0" applyBorder="1" applyAlignment="1">
      <alignment horizontal="center" vertical="center"/>
    </xf>
    <xf numFmtId="0" fontId="1" fillId="0" borderId="2" xfId="0" applyFont="1" applyBorder="1" applyAlignment="1">
      <alignment horizontal="left" vertical="center" wrapText="1"/>
    </xf>
    <xf numFmtId="0" fontId="0" fillId="0" borderId="54" xfId="0" applyBorder="1"/>
    <xf numFmtId="0" fontId="0" fillId="0" borderId="55" xfId="0" applyBorder="1"/>
    <xf numFmtId="0" fontId="0" fillId="0" borderId="56" xfId="0" applyBorder="1"/>
    <xf numFmtId="0" fontId="0" fillId="0" borderId="25" xfId="0" applyBorder="1"/>
    <xf numFmtId="0" fontId="1" fillId="3" borderId="12" xfId="0" applyFont="1" applyFill="1" applyBorder="1"/>
    <xf numFmtId="165" fontId="0" fillId="0" borderId="14" xfId="1" applyNumberFormat="1" applyFont="1" applyBorder="1"/>
    <xf numFmtId="165" fontId="0" fillId="0" borderId="16" xfId="0" applyNumberFormat="1" applyBorder="1"/>
    <xf numFmtId="165" fontId="0" fillId="0" borderId="19" xfId="0" applyNumberFormat="1" applyBorder="1"/>
    <xf numFmtId="0" fontId="0" fillId="0" borderId="15" xfId="0" applyBorder="1" applyAlignment="1">
      <alignment vertical="center"/>
    </xf>
    <xf numFmtId="0" fontId="0" fillId="0" borderId="17" xfId="0" applyBorder="1" applyAlignment="1">
      <alignment vertical="center"/>
    </xf>
    <xf numFmtId="0" fontId="0" fillId="0" borderId="39" xfId="0" applyBorder="1" applyAlignment="1">
      <alignment horizontal="left" vertical="center"/>
    </xf>
    <xf numFmtId="0" fontId="0" fillId="0" borderId="12" xfId="0" applyBorder="1" applyAlignment="1">
      <alignment vertical="center"/>
    </xf>
    <xf numFmtId="0" fontId="1" fillId="0" borderId="45" xfId="0" applyFont="1" applyBorder="1" applyAlignment="1">
      <alignment horizontal="left" vertical="center"/>
    </xf>
    <xf numFmtId="0" fontId="1" fillId="0" borderId="2" xfId="0" applyFont="1" applyBorder="1" applyAlignment="1">
      <alignment horizontal="center" vertical="center"/>
    </xf>
    <xf numFmtId="0" fontId="0" fillId="0" borderId="45" xfId="0" applyBorder="1" applyAlignment="1">
      <alignment horizontal="left" vertical="center"/>
    </xf>
    <xf numFmtId="0" fontId="1" fillId="5" borderId="52" xfId="0" quotePrefix="1" applyFont="1" applyFill="1" applyBorder="1" applyAlignment="1">
      <alignment horizontal="center" vertical="center"/>
    </xf>
    <xf numFmtId="0" fontId="1" fillId="0" borderId="2" xfId="0" applyFont="1" applyBorder="1" applyAlignment="1">
      <alignment horizontal="left" vertical="center"/>
    </xf>
    <xf numFmtId="0" fontId="0" fillId="5" borderId="51" xfId="0" applyFill="1" applyBorder="1"/>
    <xf numFmtId="0" fontId="0" fillId="5" borderId="21" xfId="0" applyFill="1" applyBorder="1"/>
    <xf numFmtId="0" fontId="0" fillId="5" borderId="53" xfId="0" applyFill="1" applyBorder="1"/>
    <xf numFmtId="0" fontId="0" fillId="0" borderId="0" xfId="0" quotePrefix="1" applyAlignment="1">
      <alignment vertical="center" wrapText="1"/>
    </xf>
    <xf numFmtId="0" fontId="0" fillId="0" borderId="0" xfId="0" applyAlignment="1">
      <alignment vertical="center"/>
    </xf>
    <xf numFmtId="0" fontId="1" fillId="0" borderId="2" xfId="0" quotePrefix="1" applyFont="1" applyBorder="1" applyAlignment="1">
      <alignment vertical="center"/>
    </xf>
    <xf numFmtId="0" fontId="0" fillId="5" borderId="11" xfId="0" applyFill="1" applyBorder="1" applyAlignment="1">
      <alignment horizontal="center" vertical="center"/>
    </xf>
    <xf numFmtId="0" fontId="0" fillId="5" borderId="41" xfId="0" applyFill="1" applyBorder="1" applyAlignment="1">
      <alignment horizontal="center" vertical="center"/>
    </xf>
    <xf numFmtId="0" fontId="0" fillId="0" borderId="36" xfId="0" applyBorder="1" applyAlignment="1">
      <alignment vertical="center"/>
    </xf>
    <xf numFmtId="0" fontId="0" fillId="5" borderId="46" xfId="0" applyFill="1" applyBorder="1" applyAlignment="1">
      <alignment horizontal="center" vertical="center"/>
    </xf>
    <xf numFmtId="0" fontId="0" fillId="6" borderId="20" xfId="0" applyFill="1" applyBorder="1" applyAlignment="1">
      <alignment horizontal="center" vertical="center"/>
    </xf>
    <xf numFmtId="0" fontId="0" fillId="6" borderId="48" xfId="0" applyFill="1" applyBorder="1" applyAlignment="1">
      <alignment horizontal="center" vertical="center"/>
    </xf>
    <xf numFmtId="0" fontId="0" fillId="6" borderId="53" xfId="0" applyFill="1" applyBorder="1" applyAlignment="1">
      <alignment horizontal="center" vertical="center"/>
    </xf>
    <xf numFmtId="0" fontId="1" fillId="0" borderId="51" xfId="0" applyFont="1" applyBorder="1" applyAlignment="1">
      <alignment horizontal="center" vertical="center"/>
    </xf>
    <xf numFmtId="0" fontId="1" fillId="7" borderId="51" xfId="0" quotePrefix="1" applyFont="1" applyFill="1" applyBorder="1" applyAlignment="1">
      <alignment horizontal="center" vertical="center"/>
    </xf>
    <xf numFmtId="0" fontId="0" fillId="0" borderId="5" xfId="0" applyBorder="1" applyAlignment="1">
      <alignment horizontal="center" vertical="center"/>
    </xf>
    <xf numFmtId="0" fontId="0" fillId="7" borderId="57" xfId="0" applyFill="1" applyBorder="1" applyAlignment="1">
      <alignment horizontal="center" vertical="center"/>
    </xf>
    <xf numFmtId="0" fontId="0" fillId="0" borderId="1" xfId="0" applyBorder="1" applyAlignment="1">
      <alignment horizontal="center" vertical="center"/>
    </xf>
    <xf numFmtId="0" fontId="0" fillId="0" borderId="16"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0" fillId="7" borderId="58" xfId="0" applyFill="1" applyBorder="1" applyAlignment="1">
      <alignment horizontal="center" vertical="center"/>
    </xf>
    <xf numFmtId="0" fontId="0" fillId="0" borderId="18" xfId="0" applyBorder="1" applyAlignment="1">
      <alignment horizontal="center" vertical="center"/>
    </xf>
    <xf numFmtId="0" fontId="0" fillId="0" borderId="25" xfId="0" applyBorder="1" applyAlignment="1">
      <alignment horizontal="center" vertical="center"/>
    </xf>
    <xf numFmtId="0" fontId="0" fillId="0" borderId="39" xfId="0" applyBorder="1"/>
    <xf numFmtId="0" fontId="0" fillId="0" borderId="40" xfId="0" applyBorder="1"/>
    <xf numFmtId="0" fontId="0" fillId="7" borderId="59" xfId="0" applyFill="1" applyBorder="1" applyAlignment="1">
      <alignment horizontal="center" vertical="center"/>
    </xf>
    <xf numFmtId="0" fontId="0" fillId="0" borderId="60" xfId="0" applyBorder="1" applyAlignment="1">
      <alignment horizontal="center" vertical="center"/>
    </xf>
    <xf numFmtId="0" fontId="0" fillId="0" borderId="38" xfId="0" applyBorder="1"/>
    <xf numFmtId="0" fontId="0" fillId="0" borderId="12" xfId="0" applyBorder="1"/>
    <xf numFmtId="0" fontId="1" fillId="8" borderId="40" xfId="0" applyFont="1" applyFill="1" applyBorder="1" applyAlignment="1">
      <alignment horizontal="center" vertical="center"/>
    </xf>
    <xf numFmtId="0" fontId="1" fillId="0" borderId="42" xfId="0" quotePrefix="1" applyFont="1" applyBorder="1" applyAlignment="1">
      <alignment horizontal="center" vertical="center"/>
    </xf>
    <xf numFmtId="0" fontId="0" fillId="8" borderId="16" xfId="0" applyFill="1" applyBorder="1" applyAlignment="1">
      <alignment horizontal="center" vertical="center"/>
    </xf>
    <xf numFmtId="0" fontId="0" fillId="8" borderId="19" xfId="0" applyFill="1" applyBorder="1" applyAlignment="1">
      <alignment horizontal="center" vertical="center"/>
    </xf>
    <xf numFmtId="0" fontId="1" fillId="0" borderId="3" xfId="0" applyFont="1" applyBorder="1"/>
    <xf numFmtId="0" fontId="1" fillId="0" borderId="4" xfId="0" applyFont="1" applyBorder="1"/>
    <xf numFmtId="0" fontId="1" fillId="0" borderId="5" xfId="0" applyFont="1" applyBorder="1"/>
    <xf numFmtId="0" fontId="1" fillId="0" borderId="51" xfId="0" quotePrefix="1" applyFont="1" applyBorder="1" applyAlignment="1">
      <alignment vertical="center"/>
    </xf>
    <xf numFmtId="0" fontId="0" fillId="0" borderId="61" xfId="0" applyBorder="1"/>
    <xf numFmtId="0" fontId="0" fillId="0" borderId="59" xfId="0" applyBorder="1"/>
    <xf numFmtId="0" fontId="0" fillId="0" borderId="62" xfId="0" applyBorder="1"/>
    <xf numFmtId="0" fontId="0" fillId="0" borderId="63" xfId="0" applyBorder="1"/>
    <xf numFmtId="0" fontId="0" fillId="0" borderId="64" xfId="0" applyBorder="1"/>
    <xf numFmtId="0" fontId="0" fillId="0" borderId="52" xfId="0" applyBorder="1"/>
    <xf numFmtId="0" fontId="0" fillId="0" borderId="53" xfId="0" applyBorder="1"/>
    <xf numFmtId="0" fontId="0" fillId="0" borderId="6" xfId="0" applyBorder="1"/>
    <xf numFmtId="0" fontId="0" fillId="0" borderId="51" xfId="0" applyBorder="1" applyAlignment="1">
      <alignment horizontal="center" vertical="center"/>
    </xf>
    <xf numFmtId="0" fontId="0" fillId="0" borderId="52" xfId="0" applyBorder="1" applyAlignment="1">
      <alignment horizontal="center" vertical="center"/>
    </xf>
    <xf numFmtId="0" fontId="0" fillId="0" borderId="53" xfId="0" applyBorder="1" applyAlignment="1">
      <alignment horizontal="center" vertical="center"/>
    </xf>
    <xf numFmtId="0" fontId="0" fillId="0" borderId="52" xfId="0" quotePrefix="1" applyBorder="1" applyAlignment="1">
      <alignment horizontal="left" vertical="center"/>
    </xf>
    <xf numFmtId="0" fontId="0" fillId="0" borderId="3" xfId="0" applyBorder="1" applyAlignment="1">
      <alignment horizontal="left" vertical="center"/>
    </xf>
    <xf numFmtId="0" fontId="0" fillId="0" borderId="61" xfId="0" quotePrefix="1" applyBorder="1" applyAlignment="1">
      <alignment horizontal="left" vertical="center"/>
    </xf>
    <xf numFmtId="0" fontId="1" fillId="0" borderId="62" xfId="0" applyFont="1" applyBorder="1"/>
    <xf numFmtId="0" fontId="1" fillId="0" borderId="64" xfId="0" applyFont="1" applyBorder="1"/>
    <xf numFmtId="0" fontId="1" fillId="10" borderId="5" xfId="0" quotePrefix="1" applyFont="1" applyFill="1" applyBorder="1" applyAlignment="1">
      <alignment horizontal="center" vertical="center"/>
    </xf>
    <xf numFmtId="0" fontId="1" fillId="10" borderId="2" xfId="0" applyFont="1" applyFill="1" applyBorder="1" applyAlignment="1">
      <alignment horizontal="center" vertical="center"/>
    </xf>
    <xf numFmtId="0" fontId="0" fillId="0" borderId="51" xfId="0" applyBorder="1"/>
    <xf numFmtId="0" fontId="0" fillId="0" borderId="4" xfId="0" applyBorder="1" applyAlignment="1">
      <alignment horizontal="center" vertical="center"/>
    </xf>
    <xf numFmtId="0" fontId="0" fillId="0" borderId="4" xfId="0" applyBorder="1" applyAlignment="1">
      <alignment horizontal="left" vertical="center"/>
    </xf>
    <xf numFmtId="0" fontId="0" fillId="0" borderId="10" xfId="0" applyBorder="1" applyAlignment="1">
      <alignment horizontal="center" vertical="center"/>
    </xf>
    <xf numFmtId="0" fontId="0" fillId="0" borderId="59" xfId="0" applyBorder="1" applyAlignment="1">
      <alignment horizontal="center" vertical="center"/>
    </xf>
    <xf numFmtId="0" fontId="0" fillId="0" borderId="64" xfId="0" applyBorder="1" applyAlignment="1">
      <alignment horizontal="center" vertical="center"/>
    </xf>
    <xf numFmtId="0" fontId="0" fillId="0" borderId="6" xfId="0" applyBorder="1" applyAlignment="1">
      <alignment horizontal="center" vertical="center"/>
    </xf>
    <xf numFmtId="0" fontId="0" fillId="0" borderId="61" xfId="0" applyBorder="1" applyAlignment="1">
      <alignment horizontal="center" vertical="center"/>
    </xf>
    <xf numFmtId="0" fontId="0" fillId="0" borderId="62" xfId="0" applyBorder="1" applyAlignment="1">
      <alignment horizontal="center" vertical="center"/>
    </xf>
    <xf numFmtId="0" fontId="1" fillId="12" borderId="2" xfId="0" applyFont="1" applyFill="1" applyBorder="1" applyAlignment="1">
      <alignment horizontal="center" vertical="center" wrapText="1"/>
    </xf>
    <xf numFmtId="0" fontId="0" fillId="0" borderId="2" xfId="0" applyBorder="1"/>
    <xf numFmtId="0" fontId="0" fillId="0" borderId="12" xfId="0" applyBorder="1" applyAlignment="1">
      <alignment horizontal="center" vertical="center"/>
    </xf>
    <xf numFmtId="0" fontId="0" fillId="0" borderId="36" xfId="0" applyBorder="1" applyAlignment="1">
      <alignment horizontal="center" vertical="center"/>
    </xf>
    <xf numFmtId="0" fontId="0" fillId="0" borderId="65" xfId="0" applyBorder="1" applyAlignment="1">
      <alignment horizontal="center" vertical="center"/>
    </xf>
    <xf numFmtId="0" fontId="1" fillId="6" borderId="38" xfId="0" applyFont="1" applyFill="1" applyBorder="1" applyAlignment="1">
      <alignment horizontal="center" vertical="center" wrapText="1"/>
    </xf>
    <xf numFmtId="0" fontId="1" fillId="6" borderId="2"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applyAlignment="1">
      <alignment horizontal="left" vertical="center" wrapText="1"/>
    </xf>
    <xf numFmtId="0" fontId="1" fillId="5" borderId="2" xfId="0" applyFont="1" applyFill="1" applyBorder="1" applyAlignment="1">
      <alignment horizontal="center" vertical="center" wrapText="1"/>
    </xf>
    <xf numFmtId="0" fontId="0" fillId="0" borderId="67" xfId="0" applyBorder="1" applyAlignment="1">
      <alignment horizontal="left" vertical="center"/>
    </xf>
    <xf numFmtId="0" fontId="0" fillId="0" borderId="66" xfId="0" applyBorder="1" applyAlignment="1">
      <alignment horizontal="left" vertical="center"/>
    </xf>
    <xf numFmtId="0" fontId="0" fillId="0" borderId="46" xfId="0" applyBorder="1" applyAlignment="1">
      <alignment horizontal="center" vertical="center"/>
    </xf>
    <xf numFmtId="0" fontId="0" fillId="0" borderId="44" xfId="0" applyBorder="1" applyAlignment="1">
      <alignment horizontal="center" vertical="center"/>
    </xf>
    <xf numFmtId="0" fontId="0" fillId="0" borderId="68" xfId="0" applyBorder="1" applyAlignment="1">
      <alignment horizontal="center" vertical="center"/>
    </xf>
    <xf numFmtId="0" fontId="1" fillId="6" borderId="3" xfId="0" applyFont="1" applyFill="1" applyBorder="1" applyAlignment="1">
      <alignment horizontal="center" vertical="center" wrapText="1"/>
    </xf>
    <xf numFmtId="0" fontId="0" fillId="0" borderId="26" xfId="0" applyBorder="1" applyAlignment="1">
      <alignment horizontal="center" vertical="center"/>
    </xf>
    <xf numFmtId="0" fontId="0" fillId="6" borderId="51" xfId="0" applyFill="1" applyBorder="1" applyAlignment="1">
      <alignment wrapText="1"/>
    </xf>
    <xf numFmtId="0" fontId="0" fillId="7" borderId="2" xfId="0" applyFill="1" applyBorder="1" applyAlignment="1">
      <alignment horizontal="center" vertical="center" wrapText="1"/>
    </xf>
    <xf numFmtId="0" fontId="0" fillId="0" borderId="2" xfId="0" applyBorder="1" applyAlignment="1">
      <alignment horizontal="center" vertical="center"/>
    </xf>
    <xf numFmtId="0" fontId="0" fillId="7" borderId="51" xfId="0" applyFill="1" applyBorder="1" applyAlignment="1">
      <alignment horizontal="center" vertical="center" wrapText="1"/>
    </xf>
    <xf numFmtId="0" fontId="0" fillId="0" borderId="51" xfId="0" applyBorder="1" applyAlignment="1">
      <alignment horizontal="center" vertical="center" wrapText="1"/>
    </xf>
    <xf numFmtId="0" fontId="0" fillId="0" borderId="19" xfId="0" applyBorder="1" applyAlignment="1">
      <alignment horizontal="center" vertical="center"/>
    </xf>
    <xf numFmtId="0" fontId="0" fillId="0" borderId="37" xfId="0" applyBorder="1" applyAlignment="1">
      <alignment horizontal="center" vertical="center"/>
    </xf>
    <xf numFmtId="0" fontId="0" fillId="0" borderId="69" xfId="0" applyBorder="1" applyAlignment="1">
      <alignment horizontal="center" vertical="center"/>
    </xf>
    <xf numFmtId="0" fontId="0" fillId="0" borderId="70" xfId="0" applyBorder="1" applyAlignment="1">
      <alignment horizontal="center" vertical="center"/>
    </xf>
    <xf numFmtId="0" fontId="0" fillId="0" borderId="47" xfId="0" applyBorder="1" applyAlignment="1">
      <alignment horizontal="center" vertical="center"/>
    </xf>
    <xf numFmtId="0" fontId="1" fillId="7" borderId="20" xfId="0" applyFont="1" applyFill="1" applyBorder="1" applyAlignment="1">
      <alignment horizontal="center" vertical="center"/>
    </xf>
    <xf numFmtId="0" fontId="0" fillId="0" borderId="3" xfId="0" applyBorder="1" applyAlignment="1">
      <alignment horizontal="center" vertical="center"/>
    </xf>
    <xf numFmtId="0" fontId="1" fillId="7" borderId="51" xfId="0" applyFont="1" applyFill="1" applyBorder="1" applyAlignment="1">
      <alignment horizontal="center" vertical="center"/>
    </xf>
    <xf numFmtId="0" fontId="0" fillId="0" borderId="1" xfId="0" applyBorder="1" applyAlignment="1">
      <alignment vertical="center"/>
    </xf>
    <xf numFmtId="0" fontId="0" fillId="0" borderId="26" xfId="0" applyBorder="1" applyAlignment="1">
      <alignment vertical="center" wrapText="1"/>
    </xf>
    <xf numFmtId="0" fontId="0" fillId="0" borderId="22" xfId="0" applyBorder="1" applyAlignment="1">
      <alignment vertical="center" wrapText="1"/>
    </xf>
    <xf numFmtId="0" fontId="0" fillId="0" borderId="23" xfId="0" applyBorder="1" applyAlignment="1">
      <alignment vertical="center" wrapText="1"/>
    </xf>
    <xf numFmtId="0" fontId="0" fillId="0" borderId="16" xfId="0" applyBorder="1" applyAlignment="1">
      <alignment vertical="center" wrapText="1"/>
    </xf>
    <xf numFmtId="0" fontId="1" fillId="6" borderId="61" xfId="0" quotePrefix="1" applyFont="1" applyFill="1" applyBorder="1" applyAlignment="1">
      <alignment horizontal="center" vertical="center"/>
    </xf>
    <xf numFmtId="0" fontId="1" fillId="0" borderId="6" xfId="0" applyFont="1" applyBorder="1" applyAlignment="1">
      <alignment horizontal="left" vertical="center"/>
    </xf>
    <xf numFmtId="0" fontId="0" fillId="6" borderId="69" xfId="0" applyFill="1" applyBorder="1"/>
    <xf numFmtId="0" fontId="0" fillId="6" borderId="26" xfId="0" applyFill="1" applyBorder="1"/>
    <xf numFmtId="0" fontId="0" fillId="6" borderId="50" xfId="0" applyFill="1" applyBorder="1"/>
    <xf numFmtId="0" fontId="0" fillId="0" borderId="71" xfId="0" applyBorder="1" applyAlignment="1">
      <alignment horizontal="left" vertical="center"/>
    </xf>
    <xf numFmtId="0" fontId="0" fillId="0" borderId="72" xfId="0" applyBorder="1" applyAlignment="1">
      <alignment horizontal="left" vertical="center"/>
    </xf>
    <xf numFmtId="0" fontId="0" fillId="0" borderId="54" xfId="0" applyBorder="1" applyAlignment="1">
      <alignment horizontal="left" vertical="center"/>
    </xf>
    <xf numFmtId="0" fontId="0" fillId="0" borderId="73" xfId="0" applyBorder="1" applyAlignment="1">
      <alignment horizontal="left" vertical="center"/>
    </xf>
    <xf numFmtId="0" fontId="1" fillId="0" borderId="71" xfId="0" applyFont="1" applyBorder="1"/>
    <xf numFmtId="0" fontId="0" fillId="0" borderId="74" xfId="0" applyBorder="1"/>
    <xf numFmtId="0" fontId="1" fillId="0" borderId="2" xfId="0" applyFont="1" applyBorder="1"/>
    <xf numFmtId="0" fontId="1" fillId="10" borderId="2" xfId="0" quotePrefix="1" applyFont="1" applyFill="1" applyBorder="1"/>
    <xf numFmtId="0" fontId="0" fillId="10" borderId="48" xfId="0" applyFill="1" applyBorder="1"/>
    <xf numFmtId="0" fontId="0" fillId="10" borderId="21" xfId="0" applyFill="1" applyBorder="1"/>
    <xf numFmtId="0" fontId="0" fillId="10" borderId="47" xfId="0" applyFill="1" applyBorder="1"/>
    <xf numFmtId="0" fontId="1" fillId="0" borderId="5" xfId="0" applyFont="1" applyBorder="1" applyAlignment="1">
      <alignment horizontal="center" vertical="center"/>
    </xf>
    <xf numFmtId="0" fontId="0" fillId="0" borderId="1" xfId="0" applyBorder="1" applyAlignment="1">
      <alignment horizontal="center"/>
    </xf>
    <xf numFmtId="0" fontId="0" fillId="0" borderId="1" xfId="0" applyBorder="1" applyAlignment="1">
      <alignment horizontal="left" vertical="center"/>
    </xf>
    <xf numFmtId="0" fontId="0" fillId="0" borderId="26" xfId="0" applyBorder="1" applyAlignment="1">
      <alignment horizontal="left" vertical="center" wrapText="1"/>
    </xf>
    <xf numFmtId="0" fontId="0" fillId="0" borderId="22" xfId="0" applyBorder="1" applyAlignment="1">
      <alignment horizontal="left" vertical="center" wrapText="1"/>
    </xf>
    <xf numFmtId="0" fontId="0" fillId="0" borderId="23" xfId="0" applyBorder="1" applyAlignment="1">
      <alignment horizontal="left" vertical="center" wrapText="1"/>
    </xf>
    <xf numFmtId="0" fontId="0" fillId="0" borderId="1" xfId="0" applyBorder="1" applyAlignment="1">
      <alignment horizontal="left" vertical="center" wrapText="1"/>
    </xf>
    <xf numFmtId="0" fontId="0" fillId="0" borderId="56" xfId="0" applyBorder="1" applyAlignment="1">
      <alignment horizontal="left" vertical="center" wrapText="1"/>
    </xf>
    <xf numFmtId="0" fontId="0" fillId="0" borderId="25" xfId="0" applyBorder="1" applyAlignment="1">
      <alignment horizontal="left" vertical="center" wrapText="1"/>
    </xf>
    <xf numFmtId="0" fontId="0" fillId="0" borderId="60" xfId="0" applyBorder="1" applyAlignment="1">
      <alignment horizontal="left" vertical="center" wrapText="1"/>
    </xf>
    <xf numFmtId="0" fontId="0" fillId="0" borderId="1" xfId="0" applyBorder="1" applyAlignment="1">
      <alignment vertical="center"/>
    </xf>
    <xf numFmtId="0" fontId="0" fillId="0" borderId="15" xfId="0" applyBorder="1" applyAlignment="1">
      <alignment horizontal="left" vertical="center" wrapText="1"/>
    </xf>
    <xf numFmtId="0" fontId="0" fillId="0" borderId="16" xfId="0" applyBorder="1" applyAlignment="1">
      <alignment horizontal="left" vertical="center" wrapText="1"/>
    </xf>
    <xf numFmtId="0" fontId="0" fillId="0" borderId="26"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24" xfId="0" applyBorder="1" applyAlignment="1">
      <alignment horizontal="left" vertical="center" wrapText="1"/>
    </xf>
    <xf numFmtId="0" fontId="0" fillId="3" borderId="26" xfId="0" applyFill="1" applyBorder="1" applyAlignment="1">
      <alignment horizontal="left" vertical="center" wrapText="1"/>
    </xf>
    <xf numFmtId="0" fontId="0" fillId="3" borderId="22" xfId="0" applyFill="1" applyBorder="1" applyAlignment="1">
      <alignment horizontal="left" vertical="center" wrapText="1"/>
    </xf>
    <xf numFmtId="0" fontId="0" fillId="3" borderId="23" xfId="0" applyFill="1" applyBorder="1" applyAlignment="1">
      <alignment horizontal="left" vertical="center" wrapText="1"/>
    </xf>
    <xf numFmtId="0" fontId="1" fillId="0" borderId="15" xfId="0" applyFont="1" applyBorder="1" applyAlignment="1">
      <alignment horizontal="left" vertical="center" wrapText="1"/>
    </xf>
    <xf numFmtId="0" fontId="1" fillId="0" borderId="1" xfId="0" applyFont="1" applyBorder="1" applyAlignment="1">
      <alignment horizontal="left" vertical="center" wrapText="1"/>
    </xf>
    <xf numFmtId="0" fontId="1" fillId="0" borderId="16" xfId="0" applyFont="1" applyBorder="1" applyAlignment="1">
      <alignment horizontal="left" vertical="center" wrapText="1"/>
    </xf>
    <xf numFmtId="0" fontId="0" fillId="3" borderId="15" xfId="0" applyFill="1" applyBorder="1" applyAlignment="1">
      <alignment horizontal="left" vertical="center" wrapText="1"/>
    </xf>
    <xf numFmtId="0" fontId="0" fillId="3" borderId="1" xfId="0" applyFill="1" applyBorder="1" applyAlignment="1">
      <alignment horizontal="left" vertical="center" wrapText="1"/>
    </xf>
    <xf numFmtId="0" fontId="0" fillId="3" borderId="16" xfId="0" applyFill="1" applyBorder="1" applyAlignment="1">
      <alignment horizontal="left" vertical="center" wrapText="1"/>
    </xf>
    <xf numFmtId="0" fontId="0" fillId="0" borderId="15" xfId="0" quotePrefix="1" applyBorder="1" applyAlignment="1">
      <alignment horizontal="left" vertical="center" wrapText="1"/>
    </xf>
    <xf numFmtId="0" fontId="0" fillId="3" borderId="15" xfId="0" quotePrefix="1" applyFill="1" applyBorder="1" applyAlignment="1">
      <alignment horizontal="left" vertical="center" wrapText="1"/>
    </xf>
    <xf numFmtId="0" fontId="4" fillId="7" borderId="3" xfId="0" applyFont="1" applyFill="1" applyBorder="1" applyAlignment="1">
      <alignment horizontal="center"/>
    </xf>
    <xf numFmtId="0" fontId="4" fillId="7" borderId="4" xfId="0" applyFont="1" applyFill="1" applyBorder="1" applyAlignment="1">
      <alignment horizontal="center"/>
    </xf>
    <xf numFmtId="0" fontId="4" fillId="7" borderId="5" xfId="0" applyFont="1" applyFill="1" applyBorder="1" applyAlignment="1">
      <alignment horizontal="center"/>
    </xf>
    <xf numFmtId="0" fontId="0" fillId="0" borderId="12" xfId="0" applyBorder="1" applyAlignment="1">
      <alignment horizontal="left" vertical="center" wrapText="1"/>
    </xf>
    <xf numFmtId="0" fontId="0" fillId="0" borderId="13" xfId="0" applyBorder="1" applyAlignment="1">
      <alignment horizontal="left" vertical="center" wrapText="1"/>
    </xf>
    <xf numFmtId="0" fontId="0" fillId="0" borderId="14" xfId="0" applyBorder="1" applyAlignment="1">
      <alignment horizontal="left" vertical="center" wrapText="1"/>
    </xf>
    <xf numFmtId="0" fontId="8" fillId="0" borderId="15" xfId="0" applyFont="1" applyBorder="1" applyAlignment="1">
      <alignment horizontal="left" vertical="center" wrapText="1"/>
    </xf>
    <xf numFmtId="0" fontId="8" fillId="0" borderId="1" xfId="0" applyFont="1" applyBorder="1" applyAlignment="1">
      <alignment horizontal="left" vertical="center" wrapText="1"/>
    </xf>
    <xf numFmtId="0" fontId="8" fillId="0" borderId="25" xfId="0" applyFont="1" applyBorder="1" applyAlignment="1">
      <alignment horizontal="left" vertical="center" wrapText="1"/>
    </xf>
    <xf numFmtId="0" fontId="8" fillId="0" borderId="16" xfId="0" applyFont="1" applyBorder="1" applyAlignment="1">
      <alignment horizontal="left" vertical="center" wrapText="1"/>
    </xf>
    <xf numFmtId="0" fontId="0" fillId="3" borderId="8" xfId="0" applyFill="1" applyBorder="1" applyAlignment="1">
      <alignment horizontal="left" vertical="center" wrapText="1"/>
    </xf>
    <xf numFmtId="0" fontId="1" fillId="0" borderId="0" xfId="0" applyFont="1" applyAlignment="1">
      <alignment horizontal="left" vertical="center"/>
    </xf>
    <xf numFmtId="0" fontId="0" fillId="0" borderId="0" xfId="0" applyAlignment="1">
      <alignment horizontal="center"/>
    </xf>
    <xf numFmtId="0" fontId="0" fillId="0" borderId="0" xfId="0" applyAlignment="1">
      <alignment horizontal="left" vertical="center"/>
    </xf>
    <xf numFmtId="0" fontId="12" fillId="0" borderId="0" xfId="0" applyFont="1" applyAlignment="1">
      <alignment horizontal="left" vertical="center"/>
    </xf>
    <xf numFmtId="0" fontId="0" fillId="0" borderId="0" xfId="0" applyAlignment="1">
      <alignment horizontal="left" vertical="center" wrapText="1"/>
    </xf>
    <xf numFmtId="14" fontId="6" fillId="3" borderId="3" xfId="0" applyNumberFormat="1" applyFont="1" applyFill="1" applyBorder="1" applyAlignment="1">
      <alignment horizontal="left" vertical="center"/>
    </xf>
    <xf numFmtId="14" fontId="6" fillId="3" borderId="4" xfId="0" applyNumberFormat="1" applyFont="1" applyFill="1" applyBorder="1" applyAlignment="1">
      <alignment horizontal="left" vertical="center"/>
    </xf>
    <xf numFmtId="14" fontId="6" fillId="3" borderId="5" xfId="0" applyNumberFormat="1" applyFont="1" applyFill="1" applyBorder="1" applyAlignment="1">
      <alignment horizontal="left" vertical="center"/>
    </xf>
    <xf numFmtId="0" fontId="1" fillId="3" borderId="3" xfId="0" applyFont="1" applyFill="1" applyBorder="1" applyAlignment="1">
      <alignment horizontal="center"/>
    </xf>
    <xf numFmtId="0" fontId="1" fillId="3" borderId="4" xfId="0" applyFont="1" applyFill="1" applyBorder="1" applyAlignment="1">
      <alignment horizontal="center"/>
    </xf>
    <xf numFmtId="0" fontId="1" fillId="0" borderId="0" xfId="0" applyFont="1" applyAlignment="1">
      <alignment horizontal="center"/>
    </xf>
    <xf numFmtId="0" fontId="10" fillId="0" borderId="0" xfId="0" applyFont="1" applyAlignment="1">
      <alignment horizontal="left" vertical="center"/>
    </xf>
    <xf numFmtId="0" fontId="1" fillId="0" borderId="0" xfId="0" applyFont="1" applyAlignment="1">
      <alignment horizontal="left"/>
    </xf>
    <xf numFmtId="0" fontId="1" fillId="9" borderId="3" xfId="0" applyFont="1" applyFill="1" applyBorder="1" applyAlignment="1">
      <alignment horizontal="center" vertical="center"/>
    </xf>
    <xf numFmtId="0" fontId="1" fillId="9" borderId="4" xfId="0" applyFont="1" applyFill="1" applyBorder="1" applyAlignment="1">
      <alignment horizontal="center" vertical="center"/>
    </xf>
    <xf numFmtId="0" fontId="1" fillId="9" borderId="5" xfId="0" applyFont="1" applyFill="1" applyBorder="1" applyAlignment="1">
      <alignment horizontal="center" vertical="center"/>
    </xf>
    <xf numFmtId="0" fontId="0" fillId="0" borderId="3" xfId="0" applyBorder="1" applyAlignment="1">
      <alignment horizontal="left" vertical="center"/>
    </xf>
    <xf numFmtId="0" fontId="0" fillId="0" borderId="5" xfId="0" applyBorder="1" applyAlignment="1">
      <alignment horizontal="left" vertical="center"/>
    </xf>
    <xf numFmtId="0" fontId="0" fillId="0" borderId="6" xfId="0" applyBorder="1" applyAlignment="1">
      <alignment horizontal="left" vertical="center" wrapText="1"/>
    </xf>
    <xf numFmtId="0" fontId="0" fillId="0" borderId="10" xfId="0" applyBorder="1" applyAlignment="1">
      <alignment horizontal="left" vertical="center" wrapText="1"/>
    </xf>
    <xf numFmtId="0" fontId="0" fillId="0" borderId="62" xfId="0" applyBorder="1" applyAlignment="1">
      <alignment horizontal="left" vertical="center" wrapText="1"/>
    </xf>
    <xf numFmtId="0" fontId="0" fillId="0" borderId="64" xfId="0" applyBorder="1" applyAlignment="1">
      <alignment horizontal="left" vertical="center" wrapText="1"/>
    </xf>
    <xf numFmtId="0" fontId="7" fillId="0" borderId="3" xfId="0" applyFont="1" applyBorder="1" applyAlignment="1">
      <alignment horizontal="left" vertical="center"/>
    </xf>
    <xf numFmtId="0" fontId="7" fillId="0" borderId="4" xfId="0" applyFont="1" applyBorder="1" applyAlignment="1">
      <alignment horizontal="left" vertical="center"/>
    </xf>
    <xf numFmtId="0" fontId="7" fillId="0" borderId="5" xfId="0" applyFont="1" applyBorder="1" applyAlignment="1">
      <alignment horizontal="left" vertical="center"/>
    </xf>
    <xf numFmtId="0" fontId="0" fillId="3" borderId="0" xfId="0" applyFill="1" applyAlignment="1">
      <alignment horizontal="left" vertical="center"/>
    </xf>
    <xf numFmtId="0" fontId="0" fillId="0" borderId="3" xfId="0" applyBorder="1" applyAlignment="1">
      <alignment horizontal="left"/>
    </xf>
    <xf numFmtId="0" fontId="0" fillId="0" borderId="4" xfId="0" applyBorder="1" applyAlignment="1">
      <alignment horizontal="left"/>
    </xf>
    <xf numFmtId="0" fontId="0" fillId="0" borderId="5" xfId="0" applyBorder="1" applyAlignment="1">
      <alignment horizontal="left"/>
    </xf>
    <xf numFmtId="0" fontId="1" fillId="10" borderId="3" xfId="0" applyFont="1" applyFill="1" applyBorder="1" applyAlignment="1">
      <alignment horizontal="center"/>
    </xf>
    <xf numFmtId="0" fontId="1" fillId="10" borderId="5" xfId="0" applyFont="1" applyFill="1" applyBorder="1" applyAlignment="1">
      <alignment horizontal="center"/>
    </xf>
    <xf numFmtId="0" fontId="0" fillId="0" borderId="3" xfId="0" applyBorder="1" applyAlignment="1">
      <alignment horizontal="center"/>
    </xf>
    <xf numFmtId="0" fontId="0" fillId="0" borderId="5" xfId="0" applyBorder="1" applyAlignment="1">
      <alignment horizontal="center"/>
    </xf>
    <xf numFmtId="0" fontId="1" fillId="11" borderId="3" xfId="0" applyFont="1" applyFill="1" applyBorder="1" applyAlignment="1">
      <alignment horizontal="left"/>
    </xf>
    <xf numFmtId="0" fontId="1" fillId="11" borderId="4" xfId="0" applyFont="1" applyFill="1" applyBorder="1" applyAlignment="1">
      <alignment horizontal="left"/>
    </xf>
    <xf numFmtId="0" fontId="1" fillId="11" borderId="5" xfId="0" applyFont="1" applyFill="1" applyBorder="1" applyAlignment="1">
      <alignment horizontal="left"/>
    </xf>
    <xf numFmtId="0" fontId="1" fillId="10" borderId="3" xfId="0" quotePrefix="1" applyFont="1" applyFill="1" applyBorder="1" applyAlignment="1">
      <alignment horizontal="center"/>
    </xf>
    <xf numFmtId="0" fontId="1" fillId="12" borderId="3" xfId="0" applyFont="1" applyFill="1" applyBorder="1" applyAlignment="1">
      <alignment horizontal="center" vertical="center" wrapText="1"/>
    </xf>
    <xf numFmtId="0" fontId="1" fillId="12" borderId="5" xfId="0" applyFont="1" applyFill="1" applyBorder="1" applyAlignment="1">
      <alignment horizontal="center" vertical="center" wrapText="1"/>
    </xf>
    <xf numFmtId="0" fontId="0" fillId="0" borderId="61" xfId="0" applyBorder="1" applyAlignment="1">
      <alignment horizontal="center" vertical="center"/>
    </xf>
    <xf numFmtId="0" fontId="0" fillId="0" borderId="59" xfId="0" applyBorder="1" applyAlignment="1">
      <alignment horizontal="center" vertical="center"/>
    </xf>
    <xf numFmtId="0" fontId="0" fillId="5" borderId="3" xfId="0" applyFill="1" applyBorder="1" applyAlignment="1">
      <alignment horizontal="center" vertical="center" wrapText="1"/>
    </xf>
    <xf numFmtId="0" fontId="0" fillId="5" borderId="5" xfId="0" applyFill="1" applyBorder="1" applyAlignment="1">
      <alignment horizontal="center" vertical="center" wrapText="1"/>
    </xf>
    <xf numFmtId="0" fontId="0" fillId="0" borderId="62" xfId="0" applyBorder="1" applyAlignment="1">
      <alignment horizontal="center" vertical="center"/>
    </xf>
    <xf numFmtId="0" fontId="0" fillId="0" borderId="64" xfId="0" applyBorder="1" applyAlignment="1">
      <alignment horizontal="center" vertical="center"/>
    </xf>
    <xf numFmtId="0" fontId="4" fillId="0" borderId="0" xfId="0" applyFont="1" applyAlignment="1">
      <alignment horizontal="center"/>
    </xf>
  </cellXfs>
  <cellStyles count="2">
    <cellStyle name="Currency" xfId="1" builtinId="4"/>
    <cellStyle name="Normal" xfId="0" builtinId="0"/>
  </cellStyles>
  <dxfs count="35">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79998168889431442"/>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79998168889431442"/>
        </patternFill>
      </fill>
    </dxf>
    <dxf>
      <border>
        <left style="thin">
          <color rgb="FF9C0006"/>
        </left>
        <right style="thin">
          <color rgb="FF9C0006"/>
        </right>
        <top style="thin">
          <color rgb="FF9C0006"/>
        </top>
        <bottom style="thin">
          <color rgb="FF9C0006"/>
        </bottom>
      </border>
    </dxf>
    <dxf>
      <font>
        <color rgb="FF9C0006"/>
      </font>
    </dxf>
    <dxf>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style="medium">
          <color indexed="64"/>
        </right>
        <top style="thin">
          <color theme="4" tint="0.39997558519241921"/>
        </top>
        <bottom style="medium">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medium">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medium">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medium">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medium">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medium">
          <color indexed="64"/>
        </bottom>
        <vertical/>
        <horizontal/>
      </border>
    </dxf>
    <dxf>
      <font>
        <b val="0"/>
        <i val="0"/>
        <strike val="0"/>
        <condense val="0"/>
        <extend val="0"/>
        <outline val="0"/>
        <shadow val="0"/>
        <u val="none"/>
        <vertAlign val="baseline"/>
        <sz val="11"/>
        <color theme="1"/>
        <name val="Calibri"/>
        <family val="2"/>
        <scheme val="minor"/>
      </font>
      <numFmt numFmtId="19" formatCode="m/d/yyyy"/>
      <fill>
        <patternFill patternType="solid">
          <fgColor theme="4" tint="0.79998168889431442"/>
          <bgColor theme="4" tint="0.79998168889431442"/>
        </patternFill>
      </fill>
      <border diagonalUp="0" diagonalDown="0">
        <left style="medium">
          <color indexed="64"/>
        </left>
        <right/>
        <top style="thin">
          <color theme="4" tint="0.39997558519241921"/>
        </top>
        <bottom style="medium">
          <color indexed="64"/>
        </bottom>
        <vertical/>
        <horizontal/>
      </border>
    </dxf>
    <dxf>
      <border outline="0">
        <top style="thin">
          <color theme="4" tint="0.39997558519241921"/>
        </top>
        <bottom style="medium">
          <color indexed="64"/>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1"/>
        <color auto="1"/>
        <name val="Calibri"/>
        <family val="2"/>
        <scheme val="minor"/>
      </font>
      <fill>
        <patternFill patternType="solid">
          <fgColor theme="4" tint="0.79998168889431442"/>
          <bgColor theme="4" tint="0.79998168889431442"/>
        </patternFill>
      </fill>
      <border diagonalUp="0" diagonalDown="0" outline="0">
        <left style="thin">
          <color indexed="64"/>
        </left>
        <right style="thin">
          <color indexed="64"/>
        </right>
        <top/>
        <bottom/>
      </border>
    </dxf>
  </dxfs>
  <tableStyles count="0" defaultTableStyle="TableStyleMedium2" defaultPivotStyle="PivotStyleLight16"/>
  <colors>
    <mruColors>
      <color rgb="FFCCFFCC"/>
      <color rgb="FFFFCCFF"/>
      <color rgb="FFFFFFCC"/>
      <color rgb="FF99FF99"/>
      <color rgb="FF99FFCC"/>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Rep</a:t>
            </a:r>
            <a:r>
              <a:rPr lang="en-US" baseline="0"/>
              <a:t> by Region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v>Total</c:v>
          </c:tx>
          <c:spPr>
            <a:solidFill>
              <a:schemeClr val="accent1"/>
            </a:solidFill>
            <a:ln>
              <a:noFill/>
            </a:ln>
            <a:effectLst/>
            <a:sp3d/>
          </c:spPr>
          <c:invertIfNegative val="0"/>
          <c:cat>
            <c:strLit>
              <c:ptCount val="11"/>
              <c:pt idx="0">
                <c:v>Central Andrews</c:v>
              </c:pt>
              <c:pt idx="1">
                <c:v>Central Gill</c:v>
              </c:pt>
              <c:pt idx="2">
                <c:v>Central Jardine</c:v>
              </c:pt>
              <c:pt idx="3">
                <c:v>Central Kivell</c:v>
              </c:pt>
              <c:pt idx="4">
                <c:v>Central Morgan</c:v>
              </c:pt>
              <c:pt idx="5">
                <c:v>Central Smith</c:v>
              </c:pt>
              <c:pt idx="6">
                <c:v>East Howard</c:v>
              </c:pt>
              <c:pt idx="7">
                <c:v>East Jones</c:v>
              </c:pt>
              <c:pt idx="8">
                <c:v>East Parent</c:v>
              </c:pt>
              <c:pt idx="9">
                <c:v>West Sorvino</c:v>
              </c:pt>
              <c:pt idx="10">
                <c:v>West Thompson</c:v>
              </c:pt>
            </c:strLit>
          </c:cat>
          <c:val>
            <c:numLit>
              <c:formatCode>General</c:formatCode>
              <c:ptCount val="11"/>
              <c:pt idx="0">
                <c:v>438.37</c:v>
              </c:pt>
              <c:pt idx="1">
                <c:v>1749.8700000000001</c:v>
              </c:pt>
              <c:pt idx="2">
                <c:v>2832.15</c:v>
              </c:pt>
              <c:pt idx="3">
                <c:v>2309.84</c:v>
              </c:pt>
              <c:pt idx="4">
                <c:v>1387.77</c:v>
              </c:pt>
              <c:pt idx="5">
                <c:v>2191.4300000000003</c:v>
              </c:pt>
              <c:pt idx="6">
                <c:v>536.75</c:v>
              </c:pt>
              <c:pt idx="7">
                <c:v>2373.08</c:v>
              </c:pt>
              <c:pt idx="8">
                <c:v>3102.2999999999997</c:v>
              </c:pt>
              <c:pt idx="9">
                <c:v>1283.6099999999999</c:v>
              </c:pt>
              <c:pt idx="10">
                <c:v>1203.1099999999999</c:v>
              </c:pt>
            </c:numLit>
          </c:val>
          <c:extLst>
            <c:ext xmlns:c16="http://schemas.microsoft.com/office/drawing/2014/chart" uri="{C3380CC4-5D6E-409C-BE32-E72D297353CC}">
              <c16:uniqueId val="{00000000-0942-42E7-A434-641BF8A4F14E}"/>
            </c:ext>
          </c:extLst>
        </c:ser>
        <c:dLbls>
          <c:showLegendKey val="0"/>
          <c:showVal val="0"/>
          <c:showCatName val="0"/>
          <c:showSerName val="0"/>
          <c:showPercent val="0"/>
          <c:showBubbleSize val="0"/>
        </c:dLbls>
        <c:gapWidth val="150"/>
        <c:shape val="box"/>
        <c:axId val="203851776"/>
        <c:axId val="203861376"/>
        <c:axId val="0"/>
      </c:bar3DChart>
      <c:catAx>
        <c:axId val="20385177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861376"/>
        <c:crosses val="autoZero"/>
        <c:auto val="1"/>
        <c:lblAlgn val="ctr"/>
        <c:lblOffset val="100"/>
        <c:noMultiLvlLbl val="0"/>
      </c:catAx>
      <c:valAx>
        <c:axId val="2038613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8517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v>Total</c:v>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8525-4DB7-968D-AC612234574A}"/>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8525-4DB7-968D-AC612234574A}"/>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8525-4DB7-968D-AC612234574A}"/>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8525-4DB7-968D-AC612234574A}"/>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8525-4DB7-968D-AC612234574A}"/>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8525-4DB7-968D-AC612234574A}"/>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8525-4DB7-968D-AC612234574A}"/>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8525-4DB7-968D-AC612234574A}"/>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8525-4DB7-968D-AC612234574A}"/>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8525-4DB7-968D-AC612234574A}"/>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8525-4DB7-968D-AC612234574A}"/>
              </c:ext>
            </c:extLst>
          </c:dPt>
          <c:cat>
            <c:strLit>
              <c:ptCount val="11"/>
              <c:pt idx="0">
                <c:v>Central Andrews</c:v>
              </c:pt>
              <c:pt idx="1">
                <c:v>Central Gill</c:v>
              </c:pt>
              <c:pt idx="2">
                <c:v>Central Jardine</c:v>
              </c:pt>
              <c:pt idx="3">
                <c:v>Central Kivell</c:v>
              </c:pt>
              <c:pt idx="4">
                <c:v>Central Morgan</c:v>
              </c:pt>
              <c:pt idx="5">
                <c:v>Central Smith</c:v>
              </c:pt>
              <c:pt idx="6">
                <c:v>East Howard</c:v>
              </c:pt>
              <c:pt idx="7">
                <c:v>East Jones</c:v>
              </c:pt>
              <c:pt idx="8">
                <c:v>East Parent</c:v>
              </c:pt>
              <c:pt idx="9">
                <c:v>West Sorvino</c:v>
              </c:pt>
              <c:pt idx="10">
                <c:v>West Thompson</c:v>
              </c:pt>
            </c:strLit>
          </c:cat>
          <c:val>
            <c:numLit>
              <c:formatCode>General</c:formatCode>
              <c:ptCount val="11"/>
              <c:pt idx="0">
                <c:v>438.37</c:v>
              </c:pt>
              <c:pt idx="1">
                <c:v>1749.8700000000001</c:v>
              </c:pt>
              <c:pt idx="2">
                <c:v>2832.15</c:v>
              </c:pt>
              <c:pt idx="3">
                <c:v>2309.84</c:v>
              </c:pt>
              <c:pt idx="4">
                <c:v>1387.77</c:v>
              </c:pt>
              <c:pt idx="5">
                <c:v>2191.4300000000003</c:v>
              </c:pt>
              <c:pt idx="6">
                <c:v>536.75</c:v>
              </c:pt>
              <c:pt idx="7">
                <c:v>2373.08</c:v>
              </c:pt>
              <c:pt idx="8">
                <c:v>3102.2999999999997</c:v>
              </c:pt>
              <c:pt idx="9">
                <c:v>1283.6099999999999</c:v>
              </c:pt>
              <c:pt idx="10">
                <c:v>1203.1099999999999</c:v>
              </c:pt>
            </c:numLit>
          </c:val>
          <c:extLst>
            <c:ext xmlns:c16="http://schemas.microsoft.com/office/drawing/2014/chart" uri="{C3380CC4-5D6E-409C-BE32-E72D297353CC}">
              <c16:uniqueId val="{00000000-F5F1-4A19-9CC1-631AFF4C4F51}"/>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Total</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Lit>
              <c:ptCount val="11"/>
              <c:pt idx="0">
                <c:v>Central Andrews</c:v>
              </c:pt>
              <c:pt idx="1">
                <c:v>Central Gill</c:v>
              </c:pt>
              <c:pt idx="2">
                <c:v>Central Jardine</c:v>
              </c:pt>
              <c:pt idx="3">
                <c:v>Central Kivell</c:v>
              </c:pt>
              <c:pt idx="4">
                <c:v>Central Morgan</c:v>
              </c:pt>
              <c:pt idx="5">
                <c:v>Central Smith</c:v>
              </c:pt>
              <c:pt idx="6">
                <c:v>East Howard</c:v>
              </c:pt>
              <c:pt idx="7">
                <c:v>East Jones</c:v>
              </c:pt>
              <c:pt idx="8">
                <c:v>East Parent</c:v>
              </c:pt>
              <c:pt idx="9">
                <c:v>West Sorvino</c:v>
              </c:pt>
              <c:pt idx="10">
                <c:v>West Thompson</c:v>
              </c:pt>
            </c:strLit>
          </c:cat>
          <c:val>
            <c:numLit>
              <c:formatCode>General</c:formatCode>
              <c:ptCount val="11"/>
              <c:pt idx="0">
                <c:v>438.37</c:v>
              </c:pt>
              <c:pt idx="1">
                <c:v>1749.8700000000001</c:v>
              </c:pt>
              <c:pt idx="2">
                <c:v>2832.15</c:v>
              </c:pt>
              <c:pt idx="3">
                <c:v>2309.84</c:v>
              </c:pt>
              <c:pt idx="4">
                <c:v>1387.77</c:v>
              </c:pt>
              <c:pt idx="5">
                <c:v>2191.4300000000003</c:v>
              </c:pt>
              <c:pt idx="6">
                <c:v>536.75</c:v>
              </c:pt>
              <c:pt idx="7">
                <c:v>2373.08</c:v>
              </c:pt>
              <c:pt idx="8">
                <c:v>3102.2999999999997</c:v>
              </c:pt>
              <c:pt idx="9">
                <c:v>1283.6099999999999</c:v>
              </c:pt>
              <c:pt idx="10">
                <c:v>1203.1099999999999</c:v>
              </c:pt>
            </c:numLit>
          </c:val>
          <c:smooth val="0"/>
          <c:extLst>
            <c:ext xmlns:c16="http://schemas.microsoft.com/office/drawing/2014/chart" uri="{C3380CC4-5D6E-409C-BE32-E72D297353CC}">
              <c16:uniqueId val="{00000000-EBC6-469D-86B6-AC82E525FD76}"/>
            </c:ext>
          </c:extLst>
        </c:ser>
        <c:dLbls>
          <c:showLegendKey val="0"/>
          <c:showVal val="0"/>
          <c:showCatName val="0"/>
          <c:showSerName val="0"/>
          <c:showPercent val="0"/>
          <c:showBubbleSize val="0"/>
        </c:dLbls>
        <c:marker val="1"/>
        <c:smooth val="0"/>
        <c:axId val="1976848448"/>
        <c:axId val="1976848928"/>
      </c:lineChart>
      <c:catAx>
        <c:axId val="1976848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6848928"/>
        <c:crosses val="autoZero"/>
        <c:auto val="1"/>
        <c:lblAlgn val="ctr"/>
        <c:lblOffset val="100"/>
        <c:noMultiLvlLbl val="0"/>
      </c:catAx>
      <c:valAx>
        <c:axId val="19768489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68484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Central Region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'Pivot Table and Chart'!$E$1</c:f>
              <c:strCache>
                <c:ptCount val="1"/>
                <c:pt idx="0">
                  <c:v>Units</c:v>
                </c:pt>
              </c:strCache>
            </c:strRef>
          </c:tx>
          <c:spPr>
            <a:solidFill>
              <a:schemeClr val="accent1"/>
            </a:solidFill>
            <a:ln>
              <a:noFill/>
            </a:ln>
            <a:effectLst/>
          </c:spPr>
          <c:invertIfNegative val="0"/>
          <c:cat>
            <c:strRef>
              <c:f>'Pivot Table and Chart'!$D$2:$D$25</c:f>
              <c:strCache>
                <c:ptCount val="24"/>
                <c:pt idx="0">
                  <c:v>Binder</c:v>
                </c:pt>
                <c:pt idx="1">
                  <c:v>Pencil</c:v>
                </c:pt>
                <c:pt idx="2">
                  <c:v>Pen</c:v>
                </c:pt>
                <c:pt idx="3">
                  <c:v>Pencil</c:v>
                </c:pt>
                <c:pt idx="4">
                  <c:v>Pencil</c:v>
                </c:pt>
                <c:pt idx="5">
                  <c:v>Pencil</c:v>
                </c:pt>
                <c:pt idx="6">
                  <c:v>Desk</c:v>
                </c:pt>
                <c:pt idx="7">
                  <c:v>Binder</c:v>
                </c:pt>
                <c:pt idx="8">
                  <c:v>Pen Set</c:v>
                </c:pt>
                <c:pt idx="9">
                  <c:v>Pencil</c:v>
                </c:pt>
                <c:pt idx="10">
                  <c:v>Binder</c:v>
                </c:pt>
                <c:pt idx="11">
                  <c:v>Binder</c:v>
                </c:pt>
                <c:pt idx="12">
                  <c:v>Pen Set</c:v>
                </c:pt>
                <c:pt idx="13">
                  <c:v>Pencil</c:v>
                </c:pt>
                <c:pt idx="14">
                  <c:v>Pencil</c:v>
                </c:pt>
                <c:pt idx="15">
                  <c:v>Binder</c:v>
                </c:pt>
                <c:pt idx="16">
                  <c:v>Desk</c:v>
                </c:pt>
                <c:pt idx="17">
                  <c:v>Pen Set</c:v>
                </c:pt>
                <c:pt idx="18">
                  <c:v>Pen Set</c:v>
                </c:pt>
                <c:pt idx="19">
                  <c:v>Pencil</c:v>
                </c:pt>
                <c:pt idx="20">
                  <c:v>Pencil</c:v>
                </c:pt>
                <c:pt idx="21">
                  <c:v>Binder</c:v>
                </c:pt>
                <c:pt idx="22">
                  <c:v>Binder</c:v>
                </c:pt>
                <c:pt idx="23">
                  <c:v>Binder</c:v>
                </c:pt>
              </c:strCache>
            </c:strRef>
          </c:cat>
          <c:val>
            <c:numRef>
              <c:f>'Pivot Table and Chart'!$E$2:$E$25</c:f>
              <c:numCache>
                <c:formatCode>General</c:formatCode>
                <c:ptCount val="24"/>
                <c:pt idx="0">
                  <c:v>10</c:v>
                </c:pt>
                <c:pt idx="1">
                  <c:v>40</c:v>
                </c:pt>
                <c:pt idx="2">
                  <c:v>27</c:v>
                </c:pt>
                <c:pt idx="3">
                  <c:v>75</c:v>
                </c:pt>
                <c:pt idx="4">
                  <c:v>90</c:v>
                </c:pt>
                <c:pt idx="5">
                  <c:v>90</c:v>
                </c:pt>
                <c:pt idx="6">
                  <c:v>4</c:v>
                </c:pt>
                <c:pt idx="7">
                  <c:v>28</c:v>
                </c:pt>
                <c:pt idx="8">
                  <c:v>96</c:v>
                </c:pt>
                <c:pt idx="9">
                  <c:v>67</c:v>
                </c:pt>
                <c:pt idx="10">
                  <c:v>46</c:v>
                </c:pt>
                <c:pt idx="11">
                  <c:v>87</c:v>
                </c:pt>
                <c:pt idx="12">
                  <c:v>50</c:v>
                </c:pt>
                <c:pt idx="13">
                  <c:v>66</c:v>
                </c:pt>
                <c:pt idx="14">
                  <c:v>53</c:v>
                </c:pt>
                <c:pt idx="15">
                  <c:v>80</c:v>
                </c:pt>
                <c:pt idx="16">
                  <c:v>5</c:v>
                </c:pt>
                <c:pt idx="17">
                  <c:v>55</c:v>
                </c:pt>
                <c:pt idx="18">
                  <c:v>42</c:v>
                </c:pt>
                <c:pt idx="19">
                  <c:v>7</c:v>
                </c:pt>
                <c:pt idx="20">
                  <c:v>14</c:v>
                </c:pt>
                <c:pt idx="21">
                  <c:v>11</c:v>
                </c:pt>
                <c:pt idx="22">
                  <c:v>94</c:v>
                </c:pt>
                <c:pt idx="23">
                  <c:v>28</c:v>
                </c:pt>
              </c:numCache>
            </c:numRef>
          </c:val>
          <c:extLst>
            <c:ext xmlns:c16="http://schemas.microsoft.com/office/drawing/2014/chart" uri="{C3380CC4-5D6E-409C-BE32-E72D297353CC}">
              <c16:uniqueId val="{00000000-D75F-4CA7-B320-DC414D044155}"/>
            </c:ext>
          </c:extLst>
        </c:ser>
        <c:ser>
          <c:idx val="1"/>
          <c:order val="1"/>
          <c:tx>
            <c:strRef>
              <c:f>'Pivot Table and Chart'!$F$1</c:f>
              <c:strCache>
                <c:ptCount val="1"/>
                <c:pt idx="0">
                  <c:v>Unit Cost</c:v>
                </c:pt>
              </c:strCache>
            </c:strRef>
          </c:tx>
          <c:spPr>
            <a:solidFill>
              <a:schemeClr val="accent2"/>
            </a:solidFill>
            <a:ln>
              <a:noFill/>
            </a:ln>
            <a:effectLst/>
          </c:spPr>
          <c:invertIfNegative val="0"/>
          <c:cat>
            <c:strRef>
              <c:f>'Pivot Table and Chart'!$D$2:$D$25</c:f>
              <c:strCache>
                <c:ptCount val="24"/>
                <c:pt idx="0">
                  <c:v>Binder</c:v>
                </c:pt>
                <c:pt idx="1">
                  <c:v>Pencil</c:v>
                </c:pt>
                <c:pt idx="2">
                  <c:v>Pen</c:v>
                </c:pt>
                <c:pt idx="3">
                  <c:v>Pencil</c:v>
                </c:pt>
                <c:pt idx="4">
                  <c:v>Pencil</c:v>
                </c:pt>
                <c:pt idx="5">
                  <c:v>Pencil</c:v>
                </c:pt>
                <c:pt idx="6">
                  <c:v>Desk</c:v>
                </c:pt>
                <c:pt idx="7">
                  <c:v>Binder</c:v>
                </c:pt>
                <c:pt idx="8">
                  <c:v>Pen Set</c:v>
                </c:pt>
                <c:pt idx="9">
                  <c:v>Pencil</c:v>
                </c:pt>
                <c:pt idx="10">
                  <c:v>Binder</c:v>
                </c:pt>
                <c:pt idx="11">
                  <c:v>Binder</c:v>
                </c:pt>
                <c:pt idx="12">
                  <c:v>Pen Set</c:v>
                </c:pt>
                <c:pt idx="13">
                  <c:v>Pencil</c:v>
                </c:pt>
                <c:pt idx="14">
                  <c:v>Pencil</c:v>
                </c:pt>
                <c:pt idx="15">
                  <c:v>Binder</c:v>
                </c:pt>
                <c:pt idx="16">
                  <c:v>Desk</c:v>
                </c:pt>
                <c:pt idx="17">
                  <c:v>Pen Set</c:v>
                </c:pt>
                <c:pt idx="18">
                  <c:v>Pen Set</c:v>
                </c:pt>
                <c:pt idx="19">
                  <c:v>Pencil</c:v>
                </c:pt>
                <c:pt idx="20">
                  <c:v>Pencil</c:v>
                </c:pt>
                <c:pt idx="21">
                  <c:v>Binder</c:v>
                </c:pt>
                <c:pt idx="22">
                  <c:v>Binder</c:v>
                </c:pt>
                <c:pt idx="23">
                  <c:v>Binder</c:v>
                </c:pt>
              </c:strCache>
            </c:strRef>
          </c:cat>
          <c:val>
            <c:numRef>
              <c:f>'Pivot Table and Chart'!$F$2:$F$25</c:f>
              <c:numCache>
                <c:formatCode>General</c:formatCode>
                <c:ptCount val="24"/>
                <c:pt idx="0">
                  <c:v>19.989999999999998</c:v>
                </c:pt>
                <c:pt idx="1">
                  <c:v>4.99</c:v>
                </c:pt>
                <c:pt idx="2">
                  <c:v>19.989999999999998</c:v>
                </c:pt>
                <c:pt idx="3">
                  <c:v>1.99</c:v>
                </c:pt>
                <c:pt idx="4">
                  <c:v>4.99</c:v>
                </c:pt>
                <c:pt idx="5">
                  <c:v>4.99</c:v>
                </c:pt>
                <c:pt idx="6">
                  <c:v>200</c:v>
                </c:pt>
                <c:pt idx="7">
                  <c:v>8.99</c:v>
                </c:pt>
                <c:pt idx="8">
                  <c:v>4.99</c:v>
                </c:pt>
                <c:pt idx="9">
                  <c:v>1.29</c:v>
                </c:pt>
                <c:pt idx="10">
                  <c:v>8.99</c:v>
                </c:pt>
                <c:pt idx="11">
                  <c:v>15</c:v>
                </c:pt>
                <c:pt idx="12">
                  <c:v>4.99</c:v>
                </c:pt>
                <c:pt idx="13">
                  <c:v>1.99</c:v>
                </c:pt>
                <c:pt idx="14">
                  <c:v>1.29</c:v>
                </c:pt>
                <c:pt idx="15">
                  <c:v>8.99</c:v>
                </c:pt>
                <c:pt idx="16">
                  <c:v>125</c:v>
                </c:pt>
                <c:pt idx="17">
                  <c:v>12.49</c:v>
                </c:pt>
                <c:pt idx="18">
                  <c:v>23.95</c:v>
                </c:pt>
                <c:pt idx="19">
                  <c:v>1.29</c:v>
                </c:pt>
                <c:pt idx="20">
                  <c:v>1.29</c:v>
                </c:pt>
                <c:pt idx="21">
                  <c:v>4.99</c:v>
                </c:pt>
                <c:pt idx="22">
                  <c:v>19.989999999999998</c:v>
                </c:pt>
                <c:pt idx="23">
                  <c:v>4.99</c:v>
                </c:pt>
              </c:numCache>
            </c:numRef>
          </c:val>
          <c:extLst>
            <c:ext xmlns:c16="http://schemas.microsoft.com/office/drawing/2014/chart" uri="{C3380CC4-5D6E-409C-BE32-E72D297353CC}">
              <c16:uniqueId val="{00000001-D75F-4CA7-B320-DC414D044155}"/>
            </c:ext>
          </c:extLst>
        </c:ser>
        <c:ser>
          <c:idx val="2"/>
          <c:order val="2"/>
          <c:tx>
            <c:strRef>
              <c:f>'Pivot Table and Chart'!$G$1</c:f>
              <c:strCache>
                <c:ptCount val="1"/>
                <c:pt idx="0">
                  <c:v>Total</c:v>
                </c:pt>
              </c:strCache>
            </c:strRef>
          </c:tx>
          <c:spPr>
            <a:solidFill>
              <a:schemeClr val="accent3"/>
            </a:solidFill>
            <a:ln>
              <a:noFill/>
            </a:ln>
            <a:effectLst/>
          </c:spPr>
          <c:invertIfNegative val="0"/>
          <c:cat>
            <c:strRef>
              <c:f>'Pivot Table and Chart'!$D$2:$D$25</c:f>
              <c:strCache>
                <c:ptCount val="24"/>
                <c:pt idx="0">
                  <c:v>Binder</c:v>
                </c:pt>
                <c:pt idx="1">
                  <c:v>Pencil</c:v>
                </c:pt>
                <c:pt idx="2">
                  <c:v>Pen</c:v>
                </c:pt>
                <c:pt idx="3">
                  <c:v>Pencil</c:v>
                </c:pt>
                <c:pt idx="4">
                  <c:v>Pencil</c:v>
                </c:pt>
                <c:pt idx="5">
                  <c:v>Pencil</c:v>
                </c:pt>
                <c:pt idx="6">
                  <c:v>Desk</c:v>
                </c:pt>
                <c:pt idx="7">
                  <c:v>Binder</c:v>
                </c:pt>
                <c:pt idx="8">
                  <c:v>Pen Set</c:v>
                </c:pt>
                <c:pt idx="9">
                  <c:v>Pencil</c:v>
                </c:pt>
                <c:pt idx="10">
                  <c:v>Binder</c:v>
                </c:pt>
                <c:pt idx="11">
                  <c:v>Binder</c:v>
                </c:pt>
                <c:pt idx="12">
                  <c:v>Pen Set</c:v>
                </c:pt>
                <c:pt idx="13">
                  <c:v>Pencil</c:v>
                </c:pt>
                <c:pt idx="14">
                  <c:v>Pencil</c:v>
                </c:pt>
                <c:pt idx="15">
                  <c:v>Binder</c:v>
                </c:pt>
                <c:pt idx="16">
                  <c:v>Desk</c:v>
                </c:pt>
                <c:pt idx="17">
                  <c:v>Pen Set</c:v>
                </c:pt>
                <c:pt idx="18">
                  <c:v>Pen Set</c:v>
                </c:pt>
                <c:pt idx="19">
                  <c:v>Pencil</c:v>
                </c:pt>
                <c:pt idx="20">
                  <c:v>Pencil</c:v>
                </c:pt>
                <c:pt idx="21">
                  <c:v>Binder</c:v>
                </c:pt>
                <c:pt idx="22">
                  <c:v>Binder</c:v>
                </c:pt>
                <c:pt idx="23">
                  <c:v>Binder</c:v>
                </c:pt>
              </c:strCache>
            </c:strRef>
          </c:cat>
          <c:val>
            <c:numRef>
              <c:f>'Pivot Table and Chart'!$G$2:$G$25</c:f>
              <c:numCache>
                <c:formatCode>General</c:formatCode>
                <c:ptCount val="24"/>
                <c:pt idx="0">
                  <c:v>199.89999999999998</c:v>
                </c:pt>
                <c:pt idx="1">
                  <c:v>199.60000000000002</c:v>
                </c:pt>
                <c:pt idx="2">
                  <c:v>539.7299999999999</c:v>
                </c:pt>
                <c:pt idx="3">
                  <c:v>149.25</c:v>
                </c:pt>
                <c:pt idx="4">
                  <c:v>449.1</c:v>
                </c:pt>
                <c:pt idx="5">
                  <c:v>449.1</c:v>
                </c:pt>
                <c:pt idx="6">
                  <c:v>800</c:v>
                </c:pt>
                <c:pt idx="7">
                  <c:v>251.72</c:v>
                </c:pt>
                <c:pt idx="8">
                  <c:v>479.04</c:v>
                </c:pt>
                <c:pt idx="9">
                  <c:v>86.43</c:v>
                </c:pt>
                <c:pt idx="10">
                  <c:v>413.54</c:v>
                </c:pt>
                <c:pt idx="11">
                  <c:v>1305</c:v>
                </c:pt>
                <c:pt idx="12">
                  <c:v>249.5</c:v>
                </c:pt>
                <c:pt idx="13">
                  <c:v>131.34</c:v>
                </c:pt>
                <c:pt idx="14">
                  <c:v>68.37</c:v>
                </c:pt>
                <c:pt idx="15">
                  <c:v>719.2</c:v>
                </c:pt>
                <c:pt idx="16">
                  <c:v>625</c:v>
                </c:pt>
                <c:pt idx="17">
                  <c:v>686.95</c:v>
                </c:pt>
                <c:pt idx="18">
                  <c:v>1005.9</c:v>
                </c:pt>
                <c:pt idx="19">
                  <c:v>9.0300000000000011</c:v>
                </c:pt>
                <c:pt idx="20">
                  <c:v>18.060000000000002</c:v>
                </c:pt>
                <c:pt idx="21">
                  <c:v>54.89</c:v>
                </c:pt>
                <c:pt idx="22">
                  <c:v>1879.06</c:v>
                </c:pt>
                <c:pt idx="23">
                  <c:v>139.72</c:v>
                </c:pt>
              </c:numCache>
            </c:numRef>
          </c:val>
          <c:extLst>
            <c:ext xmlns:c16="http://schemas.microsoft.com/office/drawing/2014/chart" uri="{C3380CC4-5D6E-409C-BE32-E72D297353CC}">
              <c16:uniqueId val="{00000002-D75F-4CA7-B320-DC414D044155}"/>
            </c:ext>
          </c:extLst>
        </c:ser>
        <c:dLbls>
          <c:showLegendKey val="0"/>
          <c:showVal val="0"/>
          <c:showCatName val="0"/>
          <c:showSerName val="0"/>
          <c:showPercent val="0"/>
          <c:showBubbleSize val="0"/>
        </c:dLbls>
        <c:gapWidth val="150"/>
        <c:overlap val="100"/>
        <c:axId val="212571056"/>
        <c:axId val="212577296"/>
      </c:barChart>
      <c:catAx>
        <c:axId val="212571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577296"/>
        <c:crosses val="autoZero"/>
        <c:auto val="1"/>
        <c:lblAlgn val="ctr"/>
        <c:lblOffset val="100"/>
        <c:noMultiLvlLbl val="0"/>
      </c:catAx>
      <c:valAx>
        <c:axId val="2125772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571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image" Target="../media/image11.png"/><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image" Target="../media/image14.png"/><Relationship Id="rId2" Type="http://schemas.openxmlformats.org/officeDocument/2006/relationships/image" Target="../media/image13.png"/><Relationship Id="rId1" Type="http://schemas.openxmlformats.org/officeDocument/2006/relationships/image" Target="../media/image12.png"/><Relationship Id="rId4" Type="http://schemas.openxmlformats.org/officeDocument/2006/relationships/image" Target="../media/image15.png"/></Relationships>
</file>

<file path=xl/drawings/_rels/drawing4.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png"/><Relationship Id="rId1" Type="http://schemas.openxmlformats.org/officeDocument/2006/relationships/image" Target="../media/image16.png"/></Relationships>
</file>

<file path=xl/drawings/drawing1.xml><?xml version="1.0" encoding="utf-8"?>
<xdr:wsDr xmlns:xdr="http://schemas.openxmlformats.org/drawingml/2006/spreadsheetDrawing" xmlns:a="http://schemas.openxmlformats.org/drawingml/2006/main">
  <xdr:twoCellAnchor editAs="oneCell">
    <xdr:from>
      <xdr:col>11</xdr:col>
      <xdr:colOff>107674</xdr:colOff>
      <xdr:row>5</xdr:row>
      <xdr:rowOff>14493</xdr:rowOff>
    </xdr:from>
    <xdr:to>
      <xdr:col>12</xdr:col>
      <xdr:colOff>766366</xdr:colOff>
      <xdr:row>10</xdr:row>
      <xdr:rowOff>86789</xdr:rowOff>
    </xdr:to>
    <xdr:pic>
      <xdr:nvPicPr>
        <xdr:cNvPr id="2" name="Picture 1">
          <a:extLst>
            <a:ext uri="{FF2B5EF4-FFF2-40B4-BE49-F238E27FC236}">
              <a16:creationId xmlns:a16="http://schemas.microsoft.com/office/drawing/2014/main" id="{5DAD647D-6ECE-D8E8-04BC-D3E0D1A78984}"/>
            </a:ext>
          </a:extLst>
        </xdr:cNvPr>
        <xdr:cNvPicPr>
          <a:picLocks noChangeAspect="1"/>
        </xdr:cNvPicPr>
      </xdr:nvPicPr>
      <xdr:blipFill>
        <a:blip xmlns:r="http://schemas.openxmlformats.org/officeDocument/2006/relationships" r:embed="rId1"/>
        <a:stretch>
          <a:fillRect/>
        </a:stretch>
      </xdr:blipFill>
      <xdr:spPr>
        <a:xfrm>
          <a:off x="12117457" y="1182341"/>
          <a:ext cx="1851388" cy="1091057"/>
        </a:xfrm>
        <a:prstGeom prst="rect">
          <a:avLst/>
        </a:prstGeom>
      </xdr:spPr>
    </xdr:pic>
    <xdr:clientData/>
  </xdr:twoCellAnchor>
  <xdr:twoCellAnchor editAs="oneCell">
    <xdr:from>
      <xdr:col>8</xdr:col>
      <xdr:colOff>728871</xdr:colOff>
      <xdr:row>14</xdr:row>
      <xdr:rowOff>19880</xdr:rowOff>
    </xdr:from>
    <xdr:to>
      <xdr:col>12</xdr:col>
      <xdr:colOff>456674</xdr:colOff>
      <xdr:row>18</xdr:row>
      <xdr:rowOff>114019</xdr:rowOff>
    </xdr:to>
    <xdr:pic>
      <xdr:nvPicPr>
        <xdr:cNvPr id="3" name="Picture 2">
          <a:extLst>
            <a:ext uri="{FF2B5EF4-FFF2-40B4-BE49-F238E27FC236}">
              <a16:creationId xmlns:a16="http://schemas.microsoft.com/office/drawing/2014/main" id="{837D26C5-A630-B325-ECAC-B99232F7018C}"/>
            </a:ext>
          </a:extLst>
        </xdr:cNvPr>
        <xdr:cNvPicPr>
          <a:picLocks noChangeAspect="1"/>
        </xdr:cNvPicPr>
      </xdr:nvPicPr>
      <xdr:blipFill>
        <a:blip xmlns:r="http://schemas.openxmlformats.org/officeDocument/2006/relationships" r:embed="rId2"/>
        <a:stretch>
          <a:fillRect/>
        </a:stretch>
      </xdr:blipFill>
      <xdr:spPr>
        <a:xfrm>
          <a:off x="8953501" y="3357771"/>
          <a:ext cx="4473738" cy="1245421"/>
        </a:xfrm>
        <a:prstGeom prst="rect">
          <a:avLst/>
        </a:prstGeom>
      </xdr:spPr>
    </xdr:pic>
    <xdr:clientData/>
  </xdr:twoCellAnchor>
  <xdr:twoCellAnchor editAs="oneCell">
    <xdr:from>
      <xdr:col>12</xdr:col>
      <xdr:colOff>520360</xdr:colOff>
      <xdr:row>16</xdr:row>
      <xdr:rowOff>214933</xdr:rowOff>
    </xdr:from>
    <xdr:to>
      <xdr:col>13</xdr:col>
      <xdr:colOff>896745</xdr:colOff>
      <xdr:row>21</xdr:row>
      <xdr:rowOff>69402</xdr:rowOff>
    </xdr:to>
    <xdr:pic>
      <xdr:nvPicPr>
        <xdr:cNvPr id="4" name="Picture 3">
          <a:extLst>
            <a:ext uri="{FF2B5EF4-FFF2-40B4-BE49-F238E27FC236}">
              <a16:creationId xmlns:a16="http://schemas.microsoft.com/office/drawing/2014/main" id="{4C5531C6-741C-278A-293D-8D93A39F4520}"/>
            </a:ext>
          </a:extLst>
        </xdr:cNvPr>
        <xdr:cNvPicPr>
          <a:picLocks noChangeAspect="1"/>
        </xdr:cNvPicPr>
      </xdr:nvPicPr>
      <xdr:blipFill>
        <a:blip xmlns:r="http://schemas.openxmlformats.org/officeDocument/2006/relationships" r:embed="rId3"/>
        <a:stretch>
          <a:fillRect/>
        </a:stretch>
      </xdr:blipFill>
      <xdr:spPr>
        <a:xfrm>
          <a:off x="13490925" y="4364520"/>
          <a:ext cx="1502819" cy="976763"/>
        </a:xfrm>
        <a:prstGeom prst="rect">
          <a:avLst/>
        </a:prstGeom>
      </xdr:spPr>
    </xdr:pic>
    <xdr:clientData/>
  </xdr:twoCellAnchor>
  <xdr:twoCellAnchor editAs="oneCell">
    <xdr:from>
      <xdr:col>8</xdr:col>
      <xdr:colOff>288192</xdr:colOff>
      <xdr:row>21</xdr:row>
      <xdr:rowOff>63645</xdr:rowOff>
    </xdr:from>
    <xdr:to>
      <xdr:col>9</xdr:col>
      <xdr:colOff>977348</xdr:colOff>
      <xdr:row>26</xdr:row>
      <xdr:rowOff>57980</xdr:rowOff>
    </xdr:to>
    <xdr:pic>
      <xdr:nvPicPr>
        <xdr:cNvPr id="5" name="Picture 4">
          <a:extLst>
            <a:ext uri="{FF2B5EF4-FFF2-40B4-BE49-F238E27FC236}">
              <a16:creationId xmlns:a16="http://schemas.microsoft.com/office/drawing/2014/main" id="{A1B84FBB-6994-D853-BDA9-F981C5B4B442}"/>
            </a:ext>
          </a:extLst>
        </xdr:cNvPr>
        <xdr:cNvPicPr>
          <a:picLocks noChangeAspect="1"/>
        </xdr:cNvPicPr>
      </xdr:nvPicPr>
      <xdr:blipFill>
        <a:blip xmlns:r="http://schemas.openxmlformats.org/officeDocument/2006/relationships" r:embed="rId4"/>
        <a:stretch>
          <a:fillRect/>
        </a:stretch>
      </xdr:blipFill>
      <xdr:spPr>
        <a:xfrm>
          <a:off x="8587366" y="5347949"/>
          <a:ext cx="1848721" cy="1717117"/>
        </a:xfrm>
        <a:prstGeom prst="rect">
          <a:avLst/>
        </a:prstGeom>
      </xdr:spPr>
    </xdr:pic>
    <xdr:clientData/>
  </xdr:twoCellAnchor>
  <xdr:twoCellAnchor editAs="oneCell">
    <xdr:from>
      <xdr:col>5</xdr:col>
      <xdr:colOff>107674</xdr:colOff>
      <xdr:row>28</xdr:row>
      <xdr:rowOff>224604</xdr:rowOff>
    </xdr:from>
    <xdr:to>
      <xdr:col>6</xdr:col>
      <xdr:colOff>588066</xdr:colOff>
      <xdr:row>31</xdr:row>
      <xdr:rowOff>123507</xdr:rowOff>
    </xdr:to>
    <xdr:pic>
      <xdr:nvPicPr>
        <xdr:cNvPr id="6" name="Picture 5">
          <a:extLst>
            <a:ext uri="{FF2B5EF4-FFF2-40B4-BE49-F238E27FC236}">
              <a16:creationId xmlns:a16="http://schemas.microsoft.com/office/drawing/2014/main" id="{BC4D2E99-918B-0E10-018A-8C1DCB6702A1}"/>
            </a:ext>
          </a:extLst>
        </xdr:cNvPr>
        <xdr:cNvPicPr>
          <a:picLocks noChangeAspect="1"/>
        </xdr:cNvPicPr>
      </xdr:nvPicPr>
      <xdr:blipFill>
        <a:blip xmlns:r="http://schemas.openxmlformats.org/officeDocument/2006/relationships" r:embed="rId5"/>
        <a:stretch>
          <a:fillRect/>
        </a:stretch>
      </xdr:blipFill>
      <xdr:spPr>
        <a:xfrm>
          <a:off x="5010978" y="7745213"/>
          <a:ext cx="1648240" cy="727164"/>
        </a:xfrm>
        <a:prstGeom prst="rect">
          <a:avLst/>
        </a:prstGeom>
      </xdr:spPr>
    </xdr:pic>
    <xdr:clientData/>
  </xdr:twoCellAnchor>
  <xdr:twoCellAnchor editAs="oneCell">
    <xdr:from>
      <xdr:col>9</xdr:col>
      <xdr:colOff>934739</xdr:colOff>
      <xdr:row>28</xdr:row>
      <xdr:rowOff>256759</xdr:rowOff>
    </xdr:from>
    <xdr:to>
      <xdr:col>11</xdr:col>
      <xdr:colOff>1436</xdr:colOff>
      <xdr:row>35</xdr:row>
      <xdr:rowOff>190499</xdr:rowOff>
    </xdr:to>
    <xdr:pic>
      <xdr:nvPicPr>
        <xdr:cNvPr id="8" name="Picture 7">
          <a:extLst>
            <a:ext uri="{FF2B5EF4-FFF2-40B4-BE49-F238E27FC236}">
              <a16:creationId xmlns:a16="http://schemas.microsoft.com/office/drawing/2014/main" id="{E6D5ACED-154C-9A50-288B-B16998089E55}"/>
            </a:ext>
          </a:extLst>
        </xdr:cNvPr>
        <xdr:cNvPicPr>
          <a:picLocks noChangeAspect="1"/>
        </xdr:cNvPicPr>
      </xdr:nvPicPr>
      <xdr:blipFill>
        <a:blip xmlns:r="http://schemas.openxmlformats.org/officeDocument/2006/relationships" r:embed="rId6"/>
        <a:stretch>
          <a:fillRect/>
        </a:stretch>
      </xdr:blipFill>
      <xdr:spPr>
        <a:xfrm>
          <a:off x="10393478" y="7777368"/>
          <a:ext cx="1460371" cy="1532283"/>
        </a:xfrm>
        <a:prstGeom prst="rect">
          <a:avLst/>
        </a:prstGeom>
      </xdr:spPr>
    </xdr:pic>
    <xdr:clientData/>
  </xdr:twoCellAnchor>
  <xdr:twoCellAnchor editAs="oneCell">
    <xdr:from>
      <xdr:col>11</xdr:col>
      <xdr:colOff>455543</xdr:colOff>
      <xdr:row>28</xdr:row>
      <xdr:rowOff>312558</xdr:rowOff>
    </xdr:from>
    <xdr:to>
      <xdr:col>13</xdr:col>
      <xdr:colOff>87100</xdr:colOff>
      <xdr:row>36</xdr:row>
      <xdr:rowOff>149087</xdr:rowOff>
    </xdr:to>
    <xdr:pic>
      <xdr:nvPicPr>
        <xdr:cNvPr id="9" name="Picture 8">
          <a:extLst>
            <a:ext uri="{FF2B5EF4-FFF2-40B4-BE49-F238E27FC236}">
              <a16:creationId xmlns:a16="http://schemas.microsoft.com/office/drawing/2014/main" id="{D423B1B6-E1A9-79AC-FD00-5BA282DBBC27}"/>
            </a:ext>
          </a:extLst>
        </xdr:cNvPr>
        <xdr:cNvPicPr>
          <a:picLocks noChangeAspect="1"/>
        </xdr:cNvPicPr>
      </xdr:nvPicPr>
      <xdr:blipFill>
        <a:blip xmlns:r="http://schemas.openxmlformats.org/officeDocument/2006/relationships" r:embed="rId7"/>
        <a:stretch>
          <a:fillRect/>
        </a:stretch>
      </xdr:blipFill>
      <xdr:spPr>
        <a:xfrm>
          <a:off x="12307956" y="7833167"/>
          <a:ext cx="1950687" cy="2014855"/>
        </a:xfrm>
        <a:prstGeom prst="rect">
          <a:avLst/>
        </a:prstGeom>
      </xdr:spPr>
    </xdr:pic>
    <xdr:clientData/>
  </xdr:twoCellAnchor>
  <xdr:twoCellAnchor editAs="oneCell">
    <xdr:from>
      <xdr:col>8</xdr:col>
      <xdr:colOff>886238</xdr:colOff>
      <xdr:row>37</xdr:row>
      <xdr:rowOff>5356</xdr:rowOff>
    </xdr:from>
    <xdr:to>
      <xdr:col>14</xdr:col>
      <xdr:colOff>11577</xdr:colOff>
      <xdr:row>38</xdr:row>
      <xdr:rowOff>469500</xdr:rowOff>
    </xdr:to>
    <xdr:pic>
      <xdr:nvPicPr>
        <xdr:cNvPr id="11" name="Picture 10">
          <a:extLst>
            <a:ext uri="{FF2B5EF4-FFF2-40B4-BE49-F238E27FC236}">
              <a16:creationId xmlns:a16="http://schemas.microsoft.com/office/drawing/2014/main" id="{F642B9A7-A8DA-8B38-BD13-71CDC4A2CA97}"/>
            </a:ext>
          </a:extLst>
        </xdr:cNvPr>
        <xdr:cNvPicPr>
          <a:picLocks noChangeAspect="1"/>
        </xdr:cNvPicPr>
      </xdr:nvPicPr>
      <xdr:blipFill>
        <a:blip xmlns:r="http://schemas.openxmlformats.org/officeDocument/2006/relationships" r:embed="rId8"/>
        <a:stretch>
          <a:fillRect/>
        </a:stretch>
      </xdr:blipFill>
      <xdr:spPr>
        <a:xfrm>
          <a:off x="9185412" y="10101856"/>
          <a:ext cx="6148991" cy="1010796"/>
        </a:xfrm>
        <a:prstGeom prst="rect">
          <a:avLst/>
        </a:prstGeom>
      </xdr:spPr>
    </xdr:pic>
    <xdr:clientData/>
  </xdr:twoCellAnchor>
  <xdr:twoCellAnchor editAs="oneCell">
    <xdr:from>
      <xdr:col>6</xdr:col>
      <xdr:colOff>745434</xdr:colOff>
      <xdr:row>28</xdr:row>
      <xdr:rowOff>212867</xdr:rowOff>
    </xdr:from>
    <xdr:to>
      <xdr:col>9</xdr:col>
      <xdr:colOff>828357</xdr:colOff>
      <xdr:row>31</xdr:row>
      <xdr:rowOff>130709</xdr:rowOff>
    </xdr:to>
    <xdr:pic>
      <xdr:nvPicPr>
        <xdr:cNvPr id="12" name="Picture 11">
          <a:extLst>
            <a:ext uri="{FF2B5EF4-FFF2-40B4-BE49-F238E27FC236}">
              <a16:creationId xmlns:a16="http://schemas.microsoft.com/office/drawing/2014/main" id="{E3D09414-274B-E746-E3FF-72EAFC927996}"/>
            </a:ext>
          </a:extLst>
        </xdr:cNvPr>
        <xdr:cNvPicPr>
          <a:picLocks noChangeAspect="1"/>
        </xdr:cNvPicPr>
      </xdr:nvPicPr>
      <xdr:blipFill>
        <a:blip xmlns:r="http://schemas.openxmlformats.org/officeDocument/2006/relationships" r:embed="rId9"/>
        <a:stretch>
          <a:fillRect/>
        </a:stretch>
      </xdr:blipFill>
      <xdr:spPr>
        <a:xfrm>
          <a:off x="6816586" y="7733476"/>
          <a:ext cx="3470510" cy="746103"/>
        </a:xfrm>
        <a:prstGeom prst="rect">
          <a:avLst/>
        </a:prstGeom>
      </xdr:spPr>
    </xdr:pic>
    <xdr:clientData/>
  </xdr:twoCellAnchor>
  <xdr:twoCellAnchor editAs="oneCell">
    <xdr:from>
      <xdr:col>11</xdr:col>
      <xdr:colOff>681403</xdr:colOff>
      <xdr:row>38</xdr:row>
      <xdr:rowOff>447260</xdr:rowOff>
    </xdr:from>
    <xdr:to>
      <xdr:col>12</xdr:col>
      <xdr:colOff>952499</xdr:colOff>
      <xdr:row>46</xdr:row>
      <xdr:rowOff>33130</xdr:rowOff>
    </xdr:to>
    <xdr:pic>
      <xdr:nvPicPr>
        <xdr:cNvPr id="7" name="Picture 6">
          <a:extLst>
            <a:ext uri="{FF2B5EF4-FFF2-40B4-BE49-F238E27FC236}">
              <a16:creationId xmlns:a16="http://schemas.microsoft.com/office/drawing/2014/main" id="{9258C6C8-8038-2320-16A5-1C25354E9963}"/>
            </a:ext>
          </a:extLst>
        </xdr:cNvPr>
        <xdr:cNvPicPr>
          <a:picLocks noChangeAspect="1"/>
        </xdr:cNvPicPr>
      </xdr:nvPicPr>
      <xdr:blipFill>
        <a:blip xmlns:r="http://schemas.openxmlformats.org/officeDocument/2006/relationships" r:embed="rId10"/>
        <a:stretch>
          <a:fillRect/>
        </a:stretch>
      </xdr:blipFill>
      <xdr:spPr>
        <a:xfrm>
          <a:off x="12533816" y="11090412"/>
          <a:ext cx="1463792" cy="245165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11</xdr:col>
      <xdr:colOff>0</xdr:colOff>
      <xdr:row>23</xdr:row>
      <xdr:rowOff>28576</xdr:rowOff>
    </xdr:from>
    <xdr:to>
      <xdr:col>16</xdr:col>
      <xdr:colOff>133350</xdr:colOff>
      <xdr:row>36</xdr:row>
      <xdr:rowOff>104776</xdr:rowOff>
    </xdr:to>
    <xdr:graphicFrame macro="">
      <xdr:nvGraphicFramePr>
        <xdr:cNvPr id="3" name="Chart 2">
          <a:extLst>
            <a:ext uri="{FF2B5EF4-FFF2-40B4-BE49-F238E27FC236}">
              <a16:creationId xmlns:a16="http://schemas.microsoft.com/office/drawing/2014/main" id="{A82C92FB-F3F0-4459-A8EB-0D4D27A7BB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209550</xdr:colOff>
      <xdr:row>23</xdr:row>
      <xdr:rowOff>38100</xdr:rowOff>
    </xdr:from>
    <xdr:to>
      <xdr:col>10</xdr:col>
      <xdr:colOff>447675</xdr:colOff>
      <xdr:row>36</xdr:row>
      <xdr:rowOff>161925</xdr:rowOff>
    </xdr:to>
    <xdr:graphicFrame macro="">
      <xdr:nvGraphicFramePr>
        <xdr:cNvPr id="2" name="Chart 1">
          <a:extLst>
            <a:ext uri="{FF2B5EF4-FFF2-40B4-BE49-F238E27FC236}">
              <a16:creationId xmlns:a16="http://schemas.microsoft.com/office/drawing/2014/main" id="{0E9A2E42-CCA4-047E-3431-B6CD056FAEC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257175</xdr:colOff>
      <xdr:row>23</xdr:row>
      <xdr:rowOff>19050</xdr:rowOff>
    </xdr:from>
    <xdr:to>
      <xdr:col>23</xdr:col>
      <xdr:colOff>123825</xdr:colOff>
      <xdr:row>36</xdr:row>
      <xdr:rowOff>123825</xdr:rowOff>
    </xdr:to>
    <xdr:graphicFrame macro="">
      <xdr:nvGraphicFramePr>
        <xdr:cNvPr id="4" name="Chart 3">
          <a:extLst>
            <a:ext uri="{FF2B5EF4-FFF2-40B4-BE49-F238E27FC236}">
              <a16:creationId xmlns:a16="http://schemas.microsoft.com/office/drawing/2014/main" id="{5AC4107E-2DA9-158B-1EC1-FBCC32A0B1C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195262</xdr:colOff>
      <xdr:row>45</xdr:row>
      <xdr:rowOff>19050</xdr:rowOff>
    </xdr:from>
    <xdr:to>
      <xdr:col>19</xdr:col>
      <xdr:colOff>500062</xdr:colOff>
      <xdr:row>59</xdr:row>
      <xdr:rowOff>95250</xdr:rowOff>
    </xdr:to>
    <xdr:graphicFrame macro="">
      <xdr:nvGraphicFramePr>
        <xdr:cNvPr id="5" name="Chart 4">
          <a:extLst>
            <a:ext uri="{FF2B5EF4-FFF2-40B4-BE49-F238E27FC236}">
              <a16:creationId xmlns:a16="http://schemas.microsoft.com/office/drawing/2014/main" id="{7569CA4F-6F2B-0988-37FC-B1FF102F312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7</xdr:col>
      <xdr:colOff>552450</xdr:colOff>
      <xdr:row>44</xdr:row>
      <xdr:rowOff>160638</xdr:rowOff>
    </xdr:from>
    <xdr:to>
      <xdr:col>12</xdr:col>
      <xdr:colOff>389688</xdr:colOff>
      <xdr:row>55</xdr:row>
      <xdr:rowOff>28213</xdr:rowOff>
    </xdr:to>
    <xdr:pic>
      <xdr:nvPicPr>
        <xdr:cNvPr id="7" name="Picture 6">
          <a:extLst>
            <a:ext uri="{FF2B5EF4-FFF2-40B4-BE49-F238E27FC236}">
              <a16:creationId xmlns:a16="http://schemas.microsoft.com/office/drawing/2014/main" id="{AF320143-137F-9B35-CA75-0A235B0F77CD}"/>
            </a:ext>
          </a:extLst>
        </xdr:cNvPr>
        <xdr:cNvPicPr>
          <a:picLocks noChangeAspect="1"/>
        </xdr:cNvPicPr>
      </xdr:nvPicPr>
      <xdr:blipFill>
        <a:blip xmlns:r="http://schemas.openxmlformats.org/officeDocument/2006/relationships" r:embed="rId5"/>
        <a:stretch>
          <a:fillRect/>
        </a:stretch>
      </xdr:blipFill>
      <xdr:spPr>
        <a:xfrm>
          <a:off x="5848350" y="8552163"/>
          <a:ext cx="4561638" cy="1972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0</xdr:col>
      <xdr:colOff>2764580</xdr:colOff>
      <xdr:row>15</xdr:row>
      <xdr:rowOff>66676</xdr:rowOff>
    </xdr:to>
    <xdr:pic>
      <xdr:nvPicPr>
        <xdr:cNvPr id="5" name="Picture 4">
          <a:extLst>
            <a:ext uri="{FF2B5EF4-FFF2-40B4-BE49-F238E27FC236}">
              <a16:creationId xmlns:a16="http://schemas.microsoft.com/office/drawing/2014/main" id="{FA0D3CFF-87DB-9FEB-5576-758B455840F8}"/>
            </a:ext>
          </a:extLst>
        </xdr:cNvPr>
        <xdr:cNvPicPr>
          <a:picLocks noChangeAspect="1"/>
        </xdr:cNvPicPr>
      </xdr:nvPicPr>
      <xdr:blipFill>
        <a:blip xmlns:r="http://schemas.openxmlformats.org/officeDocument/2006/relationships" r:embed="rId1"/>
        <a:stretch>
          <a:fillRect/>
        </a:stretch>
      </xdr:blipFill>
      <xdr:spPr>
        <a:xfrm>
          <a:off x="0" y="1"/>
          <a:ext cx="2764580" cy="3124200"/>
        </a:xfrm>
        <a:prstGeom prst="rect">
          <a:avLst/>
        </a:prstGeom>
      </xdr:spPr>
    </xdr:pic>
    <xdr:clientData/>
  </xdr:twoCellAnchor>
  <xdr:twoCellAnchor editAs="oneCell">
    <xdr:from>
      <xdr:col>0</xdr:col>
      <xdr:colOff>76200</xdr:colOff>
      <xdr:row>17</xdr:row>
      <xdr:rowOff>28575</xdr:rowOff>
    </xdr:from>
    <xdr:to>
      <xdr:col>0</xdr:col>
      <xdr:colOff>2857500</xdr:colOff>
      <xdr:row>32</xdr:row>
      <xdr:rowOff>17536</xdr:rowOff>
    </xdr:to>
    <xdr:pic>
      <xdr:nvPicPr>
        <xdr:cNvPr id="8" name="Picture 7">
          <a:extLst>
            <a:ext uri="{FF2B5EF4-FFF2-40B4-BE49-F238E27FC236}">
              <a16:creationId xmlns:a16="http://schemas.microsoft.com/office/drawing/2014/main" id="{9F279250-433F-DF73-B9B7-DC7CE3FC5BC5}"/>
            </a:ext>
          </a:extLst>
        </xdr:cNvPr>
        <xdr:cNvPicPr>
          <a:picLocks noChangeAspect="1"/>
        </xdr:cNvPicPr>
      </xdr:nvPicPr>
      <xdr:blipFill>
        <a:blip xmlns:r="http://schemas.openxmlformats.org/officeDocument/2006/relationships" r:embed="rId2"/>
        <a:stretch>
          <a:fillRect/>
        </a:stretch>
      </xdr:blipFill>
      <xdr:spPr>
        <a:xfrm>
          <a:off x="76200" y="3467100"/>
          <a:ext cx="2781300" cy="3094111"/>
        </a:xfrm>
        <a:prstGeom prst="rect">
          <a:avLst/>
        </a:prstGeom>
      </xdr:spPr>
    </xdr:pic>
    <xdr:clientData/>
  </xdr:twoCellAnchor>
  <xdr:twoCellAnchor editAs="oneCell">
    <xdr:from>
      <xdr:col>0</xdr:col>
      <xdr:colOff>0</xdr:colOff>
      <xdr:row>38</xdr:row>
      <xdr:rowOff>9526</xdr:rowOff>
    </xdr:from>
    <xdr:to>
      <xdr:col>0</xdr:col>
      <xdr:colOff>2969549</xdr:colOff>
      <xdr:row>55</xdr:row>
      <xdr:rowOff>76201</xdr:rowOff>
    </xdr:to>
    <xdr:pic>
      <xdr:nvPicPr>
        <xdr:cNvPr id="2" name="Picture 1">
          <a:extLst>
            <a:ext uri="{FF2B5EF4-FFF2-40B4-BE49-F238E27FC236}">
              <a16:creationId xmlns:a16="http://schemas.microsoft.com/office/drawing/2014/main" id="{A720D6AE-DAED-4D32-6224-99EB344BDDDE}"/>
            </a:ext>
          </a:extLst>
        </xdr:cNvPr>
        <xdr:cNvPicPr>
          <a:picLocks noChangeAspect="1"/>
        </xdr:cNvPicPr>
      </xdr:nvPicPr>
      <xdr:blipFill>
        <a:blip xmlns:r="http://schemas.openxmlformats.org/officeDocument/2006/relationships" r:embed="rId3"/>
        <a:stretch>
          <a:fillRect/>
        </a:stretch>
      </xdr:blipFill>
      <xdr:spPr>
        <a:xfrm>
          <a:off x="0" y="7715251"/>
          <a:ext cx="2969549" cy="3543300"/>
        </a:xfrm>
        <a:prstGeom prst="rect">
          <a:avLst/>
        </a:prstGeom>
      </xdr:spPr>
    </xdr:pic>
    <xdr:clientData/>
  </xdr:twoCellAnchor>
  <xdr:twoCellAnchor editAs="oneCell">
    <xdr:from>
      <xdr:col>8</xdr:col>
      <xdr:colOff>589822</xdr:colOff>
      <xdr:row>45</xdr:row>
      <xdr:rowOff>38100</xdr:rowOff>
    </xdr:from>
    <xdr:to>
      <xdr:col>11</xdr:col>
      <xdr:colOff>342662</xdr:colOff>
      <xdr:row>57</xdr:row>
      <xdr:rowOff>161925</xdr:rowOff>
    </xdr:to>
    <xdr:pic>
      <xdr:nvPicPr>
        <xdr:cNvPr id="3" name="Picture 2">
          <a:extLst>
            <a:ext uri="{FF2B5EF4-FFF2-40B4-BE49-F238E27FC236}">
              <a16:creationId xmlns:a16="http://schemas.microsoft.com/office/drawing/2014/main" id="{DD0763AA-FF2D-4B56-2153-951B0E43D814}"/>
            </a:ext>
          </a:extLst>
        </xdr:cNvPr>
        <xdr:cNvPicPr>
          <a:picLocks noChangeAspect="1"/>
        </xdr:cNvPicPr>
      </xdr:nvPicPr>
      <xdr:blipFill>
        <a:blip xmlns:r="http://schemas.openxmlformats.org/officeDocument/2006/relationships" r:embed="rId4"/>
        <a:stretch>
          <a:fillRect/>
        </a:stretch>
      </xdr:blipFill>
      <xdr:spPr>
        <a:xfrm>
          <a:off x="8552722" y="9315450"/>
          <a:ext cx="1572115" cy="24098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4</xdr:col>
      <xdr:colOff>311195</xdr:colOff>
      <xdr:row>19</xdr:row>
      <xdr:rowOff>571500</xdr:rowOff>
    </xdr:from>
    <xdr:to>
      <xdr:col>8</xdr:col>
      <xdr:colOff>475820</xdr:colOff>
      <xdr:row>33</xdr:row>
      <xdr:rowOff>37683</xdr:rowOff>
    </xdr:to>
    <xdr:pic>
      <xdr:nvPicPr>
        <xdr:cNvPr id="2" name="Picture 1">
          <a:extLst>
            <a:ext uri="{FF2B5EF4-FFF2-40B4-BE49-F238E27FC236}">
              <a16:creationId xmlns:a16="http://schemas.microsoft.com/office/drawing/2014/main" id="{AC367C66-571B-4F21-988B-24DC2243CD85}"/>
            </a:ext>
          </a:extLst>
        </xdr:cNvPr>
        <xdr:cNvPicPr>
          <a:picLocks noChangeAspect="1"/>
        </xdr:cNvPicPr>
      </xdr:nvPicPr>
      <xdr:blipFill>
        <a:blip xmlns:r="http://schemas.openxmlformats.org/officeDocument/2006/relationships" r:embed="rId1"/>
        <a:stretch>
          <a:fillRect/>
        </a:stretch>
      </xdr:blipFill>
      <xdr:spPr>
        <a:xfrm>
          <a:off x="5378495" y="4371975"/>
          <a:ext cx="2603025" cy="2523708"/>
        </a:xfrm>
        <a:prstGeom prst="rect">
          <a:avLst/>
        </a:prstGeom>
      </xdr:spPr>
    </xdr:pic>
    <xdr:clientData/>
  </xdr:twoCellAnchor>
  <xdr:twoCellAnchor editAs="oneCell">
    <xdr:from>
      <xdr:col>8</xdr:col>
      <xdr:colOff>457200</xdr:colOff>
      <xdr:row>20</xdr:row>
      <xdr:rowOff>95475</xdr:rowOff>
    </xdr:from>
    <xdr:to>
      <xdr:col>17</xdr:col>
      <xdr:colOff>332264</xdr:colOff>
      <xdr:row>30</xdr:row>
      <xdr:rowOff>161517</xdr:rowOff>
    </xdr:to>
    <xdr:pic>
      <xdr:nvPicPr>
        <xdr:cNvPr id="3" name="Picture 2">
          <a:extLst>
            <a:ext uri="{FF2B5EF4-FFF2-40B4-BE49-F238E27FC236}">
              <a16:creationId xmlns:a16="http://schemas.microsoft.com/office/drawing/2014/main" id="{F4406D03-34AD-4192-B8D3-4461FA0C16D7}"/>
            </a:ext>
          </a:extLst>
        </xdr:cNvPr>
        <xdr:cNvPicPr>
          <a:picLocks noChangeAspect="1"/>
        </xdr:cNvPicPr>
      </xdr:nvPicPr>
      <xdr:blipFill>
        <a:blip xmlns:r="http://schemas.openxmlformats.org/officeDocument/2006/relationships" r:embed="rId2"/>
        <a:stretch>
          <a:fillRect/>
        </a:stretch>
      </xdr:blipFill>
      <xdr:spPr>
        <a:xfrm>
          <a:off x="7962900" y="4476975"/>
          <a:ext cx="5361464" cy="1971042"/>
        </a:xfrm>
        <a:prstGeom prst="rect">
          <a:avLst/>
        </a:prstGeom>
      </xdr:spPr>
    </xdr:pic>
    <xdr:clientData/>
  </xdr:twoCellAnchor>
  <xdr:twoCellAnchor editAs="oneCell">
    <xdr:from>
      <xdr:col>3</xdr:col>
      <xdr:colOff>134036</xdr:colOff>
      <xdr:row>9</xdr:row>
      <xdr:rowOff>29308</xdr:rowOff>
    </xdr:from>
    <xdr:to>
      <xdr:col>8</xdr:col>
      <xdr:colOff>51287</xdr:colOff>
      <xdr:row>16</xdr:row>
      <xdr:rowOff>21981</xdr:rowOff>
    </xdr:to>
    <xdr:pic>
      <xdr:nvPicPr>
        <xdr:cNvPr id="4" name="Picture 3">
          <a:extLst>
            <a:ext uri="{FF2B5EF4-FFF2-40B4-BE49-F238E27FC236}">
              <a16:creationId xmlns:a16="http://schemas.microsoft.com/office/drawing/2014/main" id="{2FCA6977-5C78-3D81-42AB-CA1A1FDC212C}"/>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64651" y="1926981"/>
          <a:ext cx="3280309" cy="132617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umita Rai" refreshedDate="45323.963559722222" createdVersion="8" refreshedVersion="8" minRefreshableVersion="3" recordCount="44" xr:uid="{E7F8031A-A16A-479A-B4F0-6C2017C62559}">
  <cacheSource type="worksheet">
    <worksheetSource name="Table1"/>
  </cacheSource>
  <cacheFields count="7">
    <cacheField name="OrderDate" numFmtId="14">
      <sharedItems containsNonDate="0" containsDate="1" containsString="0" containsBlank="1" minDate="2021-01-06T00:00:00" maxDate="2022-12-22T00:00:00"/>
    </cacheField>
    <cacheField name="Region" numFmtId="0">
      <sharedItems containsBlank="1" count="4">
        <s v="Central"/>
        <s v="East"/>
        <s v="West"/>
        <m/>
      </sharedItems>
    </cacheField>
    <cacheField name="Rep" numFmtId="0">
      <sharedItems containsBlank="1" count="12">
        <s v="Kivell"/>
        <s v="Jardine"/>
        <s v="Gill"/>
        <s v="Andrews"/>
        <s v="Morgan"/>
        <s v="Smith"/>
        <s v="Jones"/>
        <s v="Howard"/>
        <s v="Parent"/>
        <s v="Sorvino"/>
        <s v="Thompson"/>
        <m/>
      </sharedItems>
    </cacheField>
    <cacheField name="Item" numFmtId="0">
      <sharedItems containsBlank="1"/>
    </cacheField>
    <cacheField name="Units" numFmtId="0">
      <sharedItems containsString="0" containsBlank="1" containsNumber="1" containsInteger="1" minValue="3" maxValue="96"/>
    </cacheField>
    <cacheField name="Unit Cost" numFmtId="0">
      <sharedItems containsString="0" containsBlank="1" containsNumber="1" minValue="1.29" maxValue="275"/>
    </cacheField>
    <cacheField name="Total" numFmtId="0">
      <sharedItems containsString="0" containsBlank="1" containsNumber="1" minValue="9.0300000000000011" maxValue="1879.06"/>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4">
  <r>
    <d v="2021-01-23T00:00:00"/>
    <x v="0"/>
    <x v="0"/>
    <s v="Binder"/>
    <n v="10"/>
    <n v="19.989999999999998"/>
    <n v="199.89999999999998"/>
  </r>
  <r>
    <d v="2021-02-09T00:00:00"/>
    <x v="0"/>
    <x v="1"/>
    <s v="Pencil"/>
    <n v="40"/>
    <n v="4.99"/>
    <n v="199.60000000000002"/>
  </r>
  <r>
    <d v="2021-02-26T00:00:00"/>
    <x v="0"/>
    <x v="2"/>
    <s v="Pen"/>
    <n v="27"/>
    <n v="19.989999999999998"/>
    <n v="539.7299999999999"/>
  </r>
  <r>
    <d v="2021-04-18T00:00:00"/>
    <x v="0"/>
    <x v="3"/>
    <s v="Pencil"/>
    <n v="75"/>
    <n v="1.99"/>
    <n v="149.25"/>
  </r>
  <r>
    <d v="2021-05-05T00:00:00"/>
    <x v="0"/>
    <x v="1"/>
    <s v="Pencil"/>
    <n v="90"/>
    <n v="4.99"/>
    <n v="449.1"/>
  </r>
  <r>
    <d v="2021-06-25T00:00:00"/>
    <x v="0"/>
    <x v="4"/>
    <s v="Pencil"/>
    <n v="90"/>
    <n v="4.99"/>
    <n v="449.1"/>
  </r>
  <r>
    <d v="2021-09-01T00:00:00"/>
    <x v="0"/>
    <x v="5"/>
    <s v="Desk"/>
    <n v="4"/>
    <n v="200"/>
    <n v="800"/>
  </r>
  <r>
    <d v="2021-10-05T00:00:00"/>
    <x v="0"/>
    <x v="4"/>
    <s v="Binder"/>
    <n v="28"/>
    <n v="8.99"/>
    <n v="251.72"/>
  </r>
  <r>
    <d v="2021-11-25T00:00:00"/>
    <x v="0"/>
    <x v="0"/>
    <s v="Pen Set"/>
    <n v="96"/>
    <n v="4.99"/>
    <n v="479.04"/>
  </r>
  <r>
    <d v="2021-12-12T00:00:00"/>
    <x v="0"/>
    <x v="5"/>
    <s v="Pencil"/>
    <n v="67"/>
    <n v="1.29"/>
    <n v="86.43"/>
  </r>
  <r>
    <d v="2022-01-15T00:00:00"/>
    <x v="0"/>
    <x v="2"/>
    <s v="Binder"/>
    <n v="46"/>
    <n v="8.99"/>
    <n v="413.54"/>
  </r>
  <r>
    <d v="2022-02-01T00:00:00"/>
    <x v="0"/>
    <x v="5"/>
    <s v="Binder"/>
    <n v="87"/>
    <n v="15"/>
    <n v="1305"/>
  </r>
  <r>
    <d v="2022-03-24T00:00:00"/>
    <x v="0"/>
    <x v="1"/>
    <s v="Pen Set"/>
    <n v="50"/>
    <n v="4.99"/>
    <n v="249.5"/>
  </r>
  <r>
    <d v="2022-04-10T00:00:00"/>
    <x v="0"/>
    <x v="3"/>
    <s v="Pencil"/>
    <n v="66"/>
    <n v="1.99"/>
    <n v="131.34"/>
  </r>
  <r>
    <d v="2022-05-14T00:00:00"/>
    <x v="0"/>
    <x v="2"/>
    <s v="Pencil"/>
    <n v="53"/>
    <n v="1.29"/>
    <n v="68.37"/>
  </r>
  <r>
    <d v="2022-05-31T00:00:00"/>
    <x v="0"/>
    <x v="2"/>
    <s v="Binder"/>
    <n v="80"/>
    <n v="8.99"/>
    <n v="719.2"/>
  </r>
  <r>
    <d v="2022-06-17T00:00:00"/>
    <x v="0"/>
    <x v="0"/>
    <s v="Desk"/>
    <n v="5"/>
    <n v="125"/>
    <n v="625"/>
  </r>
  <r>
    <d v="2022-07-21T00:00:00"/>
    <x v="0"/>
    <x v="4"/>
    <s v="Pen Set"/>
    <n v="55"/>
    <n v="12.49"/>
    <n v="686.95"/>
  </r>
  <r>
    <d v="2022-08-07T00:00:00"/>
    <x v="0"/>
    <x v="0"/>
    <s v="Pen Set"/>
    <n v="42"/>
    <n v="23.95"/>
    <n v="1005.9"/>
  </r>
  <r>
    <d v="2022-09-10T00:00:00"/>
    <x v="0"/>
    <x v="2"/>
    <s v="Pencil"/>
    <n v="7"/>
    <n v="1.29"/>
    <n v="9.0300000000000011"/>
  </r>
  <r>
    <d v="2022-10-31T00:00:00"/>
    <x v="0"/>
    <x v="3"/>
    <s v="Pencil"/>
    <n v="14"/>
    <n v="1.29"/>
    <n v="18.060000000000002"/>
  </r>
  <r>
    <d v="2022-11-17T00:00:00"/>
    <x v="0"/>
    <x v="1"/>
    <s v="Binder"/>
    <n v="11"/>
    <n v="4.99"/>
    <n v="54.89"/>
  </r>
  <r>
    <d v="2022-12-04T00:00:00"/>
    <x v="0"/>
    <x v="1"/>
    <s v="Binder"/>
    <n v="94"/>
    <n v="19.989999999999998"/>
    <n v="1879.06"/>
  </r>
  <r>
    <d v="2022-12-21T00:00:00"/>
    <x v="0"/>
    <x v="3"/>
    <s v="Binder"/>
    <n v="28"/>
    <n v="4.99"/>
    <n v="139.72"/>
  </r>
  <r>
    <d v="2021-01-06T00:00:00"/>
    <x v="1"/>
    <x v="6"/>
    <s v="Pencil"/>
    <n v="95"/>
    <n v="1.99"/>
    <n v="189.05"/>
  </r>
  <r>
    <d v="2021-04-01T00:00:00"/>
    <x v="1"/>
    <x v="6"/>
    <s v="Binder"/>
    <n v="60"/>
    <n v="4.99"/>
    <n v="299.40000000000003"/>
  </r>
  <r>
    <d v="2021-06-08T00:00:00"/>
    <x v="1"/>
    <x v="6"/>
    <s v="Binder"/>
    <n v="60"/>
    <n v="8.99"/>
    <n v="539.4"/>
  </r>
  <r>
    <d v="2021-07-12T00:00:00"/>
    <x v="1"/>
    <x v="7"/>
    <s v="Binder"/>
    <n v="29"/>
    <n v="1.99"/>
    <n v="57.71"/>
  </r>
  <r>
    <d v="2021-07-29T00:00:00"/>
    <x v="1"/>
    <x v="8"/>
    <s v="Binder"/>
    <n v="81"/>
    <n v="19.989999999999998"/>
    <n v="1619.1899999999998"/>
  </r>
  <r>
    <d v="2021-08-15T00:00:00"/>
    <x v="1"/>
    <x v="6"/>
    <s v="Pencil"/>
    <n v="35"/>
    <n v="4.99"/>
    <n v="174.65"/>
  </r>
  <r>
    <d v="2021-09-18T00:00:00"/>
    <x v="1"/>
    <x v="6"/>
    <s v="Pen Set"/>
    <n v="16"/>
    <n v="15.99"/>
    <n v="255.84"/>
  </r>
  <r>
    <d v="2021-10-22T00:00:00"/>
    <x v="1"/>
    <x v="6"/>
    <s v="Pen"/>
    <n v="64"/>
    <n v="8.99"/>
    <n v="575.36"/>
  </r>
  <r>
    <d v="2021-11-08T00:00:00"/>
    <x v="1"/>
    <x v="8"/>
    <s v="Pen"/>
    <n v="15"/>
    <n v="19.989999999999998"/>
    <n v="299.84999999999997"/>
  </r>
  <r>
    <d v="2021-12-29T00:00:00"/>
    <x v="1"/>
    <x v="8"/>
    <s v="Pen Set"/>
    <n v="74"/>
    <n v="15.99"/>
    <n v="1183.26"/>
  </r>
  <r>
    <d v="2022-02-18T00:00:00"/>
    <x v="1"/>
    <x v="6"/>
    <s v="Binder"/>
    <n v="5"/>
    <n v="6"/>
    <n v="30"/>
  </r>
  <r>
    <d v="2022-04-27T00:00:00"/>
    <x v="1"/>
    <x v="7"/>
    <s v="Pen"/>
    <n v="96"/>
    <n v="4.99"/>
    <n v="479.04"/>
  </r>
  <r>
    <d v="2022-07-04T00:00:00"/>
    <x v="1"/>
    <x v="6"/>
    <s v="Pen Set"/>
    <n v="62"/>
    <n v="4.99"/>
    <n v="309.38"/>
  </r>
  <r>
    <d v="2021-03-15T00:00:00"/>
    <x v="2"/>
    <x v="9"/>
    <s v="Pencil"/>
    <n v="56"/>
    <n v="2.99"/>
    <n v="167.44"/>
  </r>
  <r>
    <d v="2021-05-22T00:00:00"/>
    <x v="2"/>
    <x v="10"/>
    <s v="Pencil"/>
    <n v="32"/>
    <n v="1.99"/>
    <n v="63.68"/>
  </r>
  <r>
    <d v="2022-03-07T00:00:00"/>
    <x v="2"/>
    <x v="9"/>
    <s v="Binder"/>
    <n v="7"/>
    <n v="19.989999999999998"/>
    <n v="139.92999999999998"/>
  </r>
  <r>
    <d v="2022-08-24T00:00:00"/>
    <x v="2"/>
    <x v="9"/>
    <s v="Desk"/>
    <n v="3"/>
    <n v="275"/>
    <n v="825"/>
  </r>
  <r>
    <d v="2022-09-27T00:00:00"/>
    <x v="2"/>
    <x v="9"/>
    <s v="Pen"/>
    <n v="76"/>
    <n v="1.99"/>
    <n v="151.24"/>
  </r>
  <r>
    <d v="2022-10-14T00:00:00"/>
    <x v="2"/>
    <x v="10"/>
    <s v="Binder"/>
    <n v="57"/>
    <n v="19.989999999999998"/>
    <n v="1139.4299999999998"/>
  </r>
  <r>
    <m/>
    <x v="3"/>
    <x v="11"/>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5552899-8A1C-4263-82F9-161E6C5DA807}" name="PivotTable10"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I2:J17" firstHeaderRow="1" firstDataRow="1" firstDataCol="1"/>
  <pivotFields count="7">
    <pivotField showAll="0"/>
    <pivotField axis="axisRow" showAll="0">
      <items count="5">
        <item x="0"/>
        <item x="1"/>
        <item x="2"/>
        <item h="1" x="3"/>
        <item t="default"/>
      </items>
    </pivotField>
    <pivotField axis="axisRow" showAll="0">
      <items count="13">
        <item x="3"/>
        <item x="2"/>
        <item x="7"/>
        <item x="1"/>
        <item x="6"/>
        <item x="0"/>
        <item x="4"/>
        <item x="8"/>
        <item x="5"/>
        <item x="9"/>
        <item x="10"/>
        <item x="11"/>
        <item t="default"/>
      </items>
    </pivotField>
    <pivotField showAll="0"/>
    <pivotField showAll="0"/>
    <pivotField showAll="0"/>
    <pivotField dataField="1" showAll="0"/>
  </pivotFields>
  <rowFields count="2">
    <field x="1"/>
    <field x="2"/>
  </rowFields>
  <rowItems count="15">
    <i>
      <x/>
    </i>
    <i r="1">
      <x/>
    </i>
    <i r="1">
      <x v="1"/>
    </i>
    <i r="1">
      <x v="3"/>
    </i>
    <i r="1">
      <x v="5"/>
    </i>
    <i r="1">
      <x v="6"/>
    </i>
    <i r="1">
      <x v="8"/>
    </i>
    <i>
      <x v="1"/>
    </i>
    <i r="1">
      <x v="2"/>
    </i>
    <i r="1">
      <x v="4"/>
    </i>
    <i r="1">
      <x v="7"/>
    </i>
    <i>
      <x v="2"/>
    </i>
    <i r="1">
      <x v="9"/>
    </i>
    <i r="1">
      <x v="10"/>
    </i>
    <i t="grand">
      <x/>
    </i>
  </rowItems>
  <colItems count="1">
    <i/>
  </colItems>
  <dataFields count="1">
    <dataField name="Sum of Total"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0C78936-40F5-4A34-AB14-E228675C4535}" name="Table1" displayName="Table1" ref="A1:G45" totalsRowShown="0" headerRowDxfId="34" dataDxfId="33" tableBorderDxfId="32">
  <autoFilter ref="A1:G45" xr:uid="{30C78936-40F5-4A34-AB14-E228675C4535}"/>
  <tableColumns count="7">
    <tableColumn id="1" xr3:uid="{719FB7CB-CE0D-4A37-928D-17323892BF78}" name="OrderDate" dataDxfId="31"/>
    <tableColumn id="2" xr3:uid="{48D26B01-5B78-4A35-BF23-7246C569C726}" name="Region" dataDxfId="30"/>
    <tableColumn id="3" xr3:uid="{77B04DB7-4A45-4BDE-AA4D-93059086AF61}" name="Rep" dataDxfId="29"/>
    <tableColumn id="4" xr3:uid="{B45DA848-F183-4786-80CA-6EB3E82E57F5}" name="Item" dataDxfId="28"/>
    <tableColumn id="5" xr3:uid="{6E2376DA-2214-4170-8137-5C5F2769E1F5}" name="Units" dataDxfId="27"/>
    <tableColumn id="6" xr3:uid="{2FC1BD59-4C23-445E-B03D-63A610471A45}" name="Unit Cost" dataDxfId="26"/>
    <tableColumn id="7" xr3:uid="{090A102B-7949-49F9-859E-2D7177CEDAA2}" name="Total" dataDxfId="25">
      <calculatedColumnFormula>E2*F2</calculatedColumnFormula>
    </tableColumn>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C8"/>
  <sheetViews>
    <sheetView workbookViewId="0">
      <selection activeCell="C26" sqref="C26"/>
    </sheetView>
  </sheetViews>
  <sheetFormatPr defaultRowHeight="15" x14ac:dyDescent="0.25"/>
  <cols>
    <col min="2" max="2" width="26.5703125" bestFit="1" customWidth="1"/>
    <col min="3" max="3" width="39.28515625" bestFit="1" customWidth="1"/>
  </cols>
  <sheetData>
    <row r="2" spans="2:3" x14ac:dyDescent="0.25">
      <c r="B2" s="240" t="s">
        <v>0</v>
      </c>
      <c r="C2" s="240"/>
    </row>
    <row r="3" spans="2:3" x14ac:dyDescent="0.25">
      <c r="B3" s="1" t="s">
        <v>1</v>
      </c>
      <c r="C3" s="1" t="s">
        <v>2</v>
      </c>
    </row>
    <row r="4" spans="2:3" x14ac:dyDescent="0.25">
      <c r="B4" s="1" t="s">
        <v>3</v>
      </c>
      <c r="C4" s="1" t="s">
        <v>4</v>
      </c>
    </row>
    <row r="5" spans="2:3" x14ac:dyDescent="0.25">
      <c r="B5" s="1" t="s">
        <v>5</v>
      </c>
      <c r="C5" s="1" t="s">
        <v>6</v>
      </c>
    </row>
    <row r="6" spans="2:3" x14ac:dyDescent="0.25">
      <c r="B6" s="1" t="s">
        <v>7</v>
      </c>
      <c r="C6" s="1" t="s">
        <v>8</v>
      </c>
    </row>
    <row r="8" spans="2:3" x14ac:dyDescent="0.25">
      <c r="B8" t="s">
        <v>9</v>
      </c>
      <c r="C8" t="s">
        <v>10</v>
      </c>
    </row>
  </sheetData>
  <dataConsolidate/>
  <mergeCells count="1">
    <mergeCell ref="B2:C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D0C89D-0EFC-42D7-8276-00B32D194840}">
  <sheetPr>
    <tabColor rgb="FFFFFF00"/>
  </sheetPr>
  <dimension ref="A1:O135"/>
  <sheetViews>
    <sheetView tabSelected="1" topLeftCell="A66" zoomScale="115" zoomScaleNormal="115" workbookViewId="0">
      <selection activeCell="B82" sqref="B82:N82"/>
    </sheetView>
  </sheetViews>
  <sheetFormatPr defaultRowHeight="17.25" customHeight="1" x14ac:dyDescent="0.25"/>
  <cols>
    <col min="1" max="1" width="3.140625" style="11" customWidth="1"/>
    <col min="2" max="2" width="18.28515625" customWidth="1"/>
    <col min="3" max="3" width="18.140625" customWidth="1"/>
    <col min="4" max="4" width="16.85546875" customWidth="1"/>
    <col min="5" max="5" width="17.140625" customWidth="1"/>
    <col min="6" max="6" width="17.5703125" customWidth="1"/>
    <col min="7" max="7" width="16.42578125" customWidth="1"/>
    <col min="8" max="8" width="17" customWidth="1"/>
    <col min="9" max="9" width="17.42578125" customWidth="1"/>
    <col min="10" max="10" width="18.140625" customWidth="1"/>
    <col min="11" max="11" width="17.7109375" customWidth="1"/>
    <col min="12" max="12" width="17.85546875" customWidth="1"/>
    <col min="13" max="13" width="16.85546875" customWidth="1"/>
    <col min="14" max="14" width="17.28515625" customWidth="1"/>
  </cols>
  <sheetData>
    <row r="1" spans="1:14" ht="24" customHeight="1" thickBot="1" x14ac:dyDescent="0.4">
      <c r="A1" s="267" t="s">
        <v>84</v>
      </c>
      <c r="B1" s="268"/>
      <c r="C1" s="269"/>
    </row>
    <row r="2" spans="1:14" ht="17.25" customHeight="1" x14ac:dyDescent="0.25">
      <c r="A2" s="24">
        <v>1</v>
      </c>
      <c r="B2" s="270" t="s">
        <v>71</v>
      </c>
      <c r="C2" s="271"/>
      <c r="D2" s="271"/>
      <c r="E2" s="271"/>
      <c r="F2" s="271"/>
      <c r="G2" s="271"/>
      <c r="H2" s="271"/>
      <c r="I2" s="271"/>
      <c r="J2" s="271"/>
      <c r="K2" s="271"/>
      <c r="L2" s="271"/>
      <c r="M2" s="271"/>
      <c r="N2" s="272"/>
    </row>
    <row r="3" spans="1:14" ht="15" x14ac:dyDescent="0.25">
      <c r="A3" s="25">
        <v>2</v>
      </c>
      <c r="B3" s="250" t="s">
        <v>68</v>
      </c>
      <c r="C3" s="245"/>
      <c r="D3" s="245"/>
      <c r="E3" s="245"/>
      <c r="F3" s="245"/>
      <c r="G3" s="245"/>
      <c r="H3" s="245"/>
      <c r="I3" s="245"/>
      <c r="J3" s="245"/>
      <c r="K3" s="245"/>
      <c r="L3" s="245"/>
      <c r="M3" s="245"/>
      <c r="N3" s="251"/>
    </row>
    <row r="4" spans="1:14" ht="15" x14ac:dyDescent="0.25">
      <c r="A4" s="25">
        <v>3</v>
      </c>
      <c r="B4" s="250" t="s">
        <v>69</v>
      </c>
      <c r="C4" s="245"/>
      <c r="D4" s="245"/>
      <c r="E4" s="245"/>
      <c r="F4" s="245"/>
      <c r="G4" s="245"/>
      <c r="H4" s="245"/>
      <c r="I4" s="245"/>
      <c r="J4" s="245"/>
      <c r="K4" s="245"/>
      <c r="L4" s="245"/>
      <c r="M4" s="245"/>
      <c r="N4" s="251"/>
    </row>
    <row r="5" spans="1:14" ht="21" customHeight="1" x14ac:dyDescent="0.25">
      <c r="A5" s="25">
        <v>4</v>
      </c>
      <c r="B5" s="262" t="s">
        <v>67</v>
      </c>
      <c r="C5" s="263"/>
      <c r="D5" s="263"/>
      <c r="E5" s="263"/>
      <c r="F5" s="263"/>
      <c r="G5" s="263"/>
      <c r="H5" s="263"/>
      <c r="I5" s="263"/>
      <c r="J5" s="263"/>
      <c r="K5" s="263"/>
      <c r="L5" s="263"/>
      <c r="M5" s="263"/>
      <c r="N5" s="264"/>
    </row>
    <row r="6" spans="1:14" ht="9" customHeight="1" x14ac:dyDescent="0.25">
      <c r="A6" s="25"/>
      <c r="B6" s="17"/>
      <c r="C6" s="18"/>
      <c r="D6" s="18"/>
      <c r="E6" s="18"/>
      <c r="F6" s="18"/>
      <c r="G6" s="18"/>
      <c r="H6" s="18"/>
      <c r="I6" s="18"/>
      <c r="J6" s="18"/>
      <c r="K6" s="18"/>
      <c r="L6" s="18"/>
      <c r="M6" s="18"/>
      <c r="N6" s="222"/>
    </row>
    <row r="7" spans="1:14" ht="20.25" customHeight="1" thickBot="1" x14ac:dyDescent="0.3">
      <c r="A7" s="25">
        <v>5</v>
      </c>
      <c r="B7" s="273" t="s">
        <v>70</v>
      </c>
      <c r="C7" s="274"/>
      <c r="D7" s="275"/>
      <c r="E7" s="274"/>
      <c r="F7" s="274"/>
      <c r="G7" s="274"/>
      <c r="H7" s="274"/>
      <c r="I7" s="274"/>
      <c r="J7" s="274"/>
      <c r="K7" s="274"/>
      <c r="L7" s="274"/>
      <c r="M7" s="274"/>
      <c r="N7" s="276"/>
    </row>
    <row r="8" spans="1:14" ht="17.25" customHeight="1" thickBot="1" x14ac:dyDescent="0.3">
      <c r="A8" s="25">
        <v>6</v>
      </c>
      <c r="B8" s="19" t="s">
        <v>90</v>
      </c>
      <c r="C8" s="21" t="s">
        <v>72</v>
      </c>
      <c r="D8" s="23">
        <f>1+1</f>
        <v>2</v>
      </c>
      <c r="E8" s="243" t="s">
        <v>73</v>
      </c>
      <c r="F8" s="255"/>
      <c r="G8" s="243"/>
      <c r="H8" s="243"/>
      <c r="I8" s="243"/>
      <c r="J8" s="243"/>
      <c r="K8" s="243"/>
      <c r="L8" s="243"/>
      <c r="M8" s="243"/>
      <c r="N8" s="244"/>
    </row>
    <row r="9" spans="1:14" ht="17.25" customHeight="1" thickBot="1" x14ac:dyDescent="0.3">
      <c r="A9" s="25">
        <v>7</v>
      </c>
      <c r="B9" s="17" t="s">
        <v>91</v>
      </c>
      <c r="C9" s="18" t="s">
        <v>74</v>
      </c>
      <c r="D9" s="22">
        <v>100</v>
      </c>
      <c r="E9" s="20">
        <v>25</v>
      </c>
      <c r="F9" s="23">
        <f>D9-E9</f>
        <v>75</v>
      </c>
      <c r="G9" s="243" t="s">
        <v>75</v>
      </c>
      <c r="H9" s="243"/>
      <c r="I9" s="243"/>
      <c r="J9" s="243"/>
      <c r="K9" s="243"/>
      <c r="L9" s="243"/>
      <c r="M9" s="243"/>
      <c r="N9" s="244"/>
    </row>
    <row r="10" spans="1:14" ht="17.25" customHeight="1" x14ac:dyDescent="0.25">
      <c r="A10" s="25">
        <v>8</v>
      </c>
      <c r="B10" s="262" t="s">
        <v>76</v>
      </c>
      <c r="C10" s="263"/>
      <c r="D10" s="263"/>
      <c r="E10" s="263"/>
      <c r="F10" s="277"/>
      <c r="G10" s="263"/>
      <c r="H10" s="263"/>
      <c r="I10" s="263"/>
      <c r="J10" s="263"/>
      <c r="K10" s="263"/>
      <c r="L10" s="263"/>
      <c r="M10" s="263"/>
      <c r="N10" s="264"/>
    </row>
    <row r="11" spans="1:14" ht="27.75" customHeight="1" x14ac:dyDescent="0.25">
      <c r="A11" s="25"/>
      <c r="B11" s="256" t="s">
        <v>87</v>
      </c>
      <c r="C11" s="257"/>
      <c r="D11" s="257"/>
      <c r="E11" s="257"/>
      <c r="F11" s="257"/>
      <c r="G11" s="257"/>
      <c r="H11" s="257"/>
      <c r="I11" s="257"/>
      <c r="J11" s="257"/>
      <c r="K11" s="257"/>
      <c r="L11" s="257"/>
      <c r="M11" s="257"/>
      <c r="N11" s="258"/>
    </row>
    <row r="12" spans="1:14" ht="9.75" customHeight="1" x14ac:dyDescent="0.25">
      <c r="A12" s="204"/>
      <c r="B12" s="18"/>
      <c r="C12" s="18"/>
      <c r="D12" s="18"/>
      <c r="E12" s="18"/>
      <c r="F12" s="18"/>
      <c r="G12" s="18"/>
      <c r="H12" s="18"/>
      <c r="I12" s="18"/>
      <c r="J12" s="18"/>
      <c r="K12" s="18"/>
      <c r="L12" s="18"/>
      <c r="M12" s="18"/>
      <c r="N12" s="18"/>
    </row>
    <row r="13" spans="1:14" ht="17.25" customHeight="1" x14ac:dyDescent="0.25">
      <c r="A13" s="25">
        <v>9</v>
      </c>
      <c r="B13" s="250" t="s">
        <v>77</v>
      </c>
      <c r="C13" s="245"/>
      <c r="D13" s="245"/>
      <c r="E13" s="245"/>
      <c r="F13" s="245"/>
      <c r="G13" s="245"/>
      <c r="H13" s="245"/>
      <c r="I13" s="245"/>
      <c r="J13" s="245"/>
      <c r="K13" s="245"/>
      <c r="L13" s="245"/>
      <c r="M13" s="245"/>
      <c r="N13" s="251"/>
    </row>
    <row r="14" spans="1:14" ht="17.25" customHeight="1" x14ac:dyDescent="0.25">
      <c r="A14" s="25">
        <v>10</v>
      </c>
      <c r="B14" s="250" t="s">
        <v>78</v>
      </c>
      <c r="C14" s="245"/>
      <c r="D14" s="245"/>
      <c r="E14" s="245"/>
      <c r="F14" s="245"/>
      <c r="G14" s="245"/>
      <c r="H14" s="245"/>
      <c r="I14" s="245"/>
      <c r="J14" s="245"/>
      <c r="K14" s="245"/>
      <c r="L14" s="245"/>
      <c r="M14" s="245"/>
      <c r="N14" s="251"/>
    </row>
    <row r="15" spans="1:14" ht="17.25" customHeight="1" x14ac:dyDescent="0.25">
      <c r="A15" s="25">
        <v>11</v>
      </c>
      <c r="B15" s="250" t="s">
        <v>79</v>
      </c>
      <c r="C15" s="245"/>
      <c r="D15" s="245"/>
      <c r="E15" s="245"/>
      <c r="F15" s="245"/>
      <c r="G15" s="245"/>
      <c r="H15" s="245"/>
      <c r="I15" s="245"/>
      <c r="J15" s="245"/>
      <c r="K15" s="245"/>
      <c r="L15" s="245"/>
      <c r="M15" s="245"/>
      <c r="N15" s="251"/>
    </row>
    <row r="16" spans="1:14" ht="47.25" customHeight="1" x14ac:dyDescent="0.25">
      <c r="A16" s="25">
        <v>12</v>
      </c>
      <c r="B16" s="250" t="s">
        <v>83</v>
      </c>
      <c r="C16" s="245"/>
      <c r="D16" s="245"/>
      <c r="E16" s="245"/>
      <c r="F16" s="245"/>
      <c r="G16" s="245"/>
      <c r="H16" s="245"/>
      <c r="I16" s="245"/>
      <c r="J16" s="245"/>
      <c r="K16" s="245"/>
      <c r="L16" s="245"/>
      <c r="M16" s="245"/>
      <c r="N16" s="251"/>
    </row>
    <row r="17" spans="1:14" ht="9.75" customHeight="1" x14ac:dyDescent="0.25">
      <c r="A17" s="204"/>
      <c r="B17" s="18"/>
      <c r="C17" s="18"/>
      <c r="D17" s="18"/>
      <c r="E17" s="18"/>
      <c r="F17" s="18"/>
      <c r="G17" s="18"/>
      <c r="H17" s="18"/>
      <c r="I17" s="18"/>
      <c r="J17" s="18"/>
      <c r="K17" s="18"/>
      <c r="L17" s="18"/>
      <c r="M17" s="18"/>
      <c r="N17" s="18"/>
    </row>
    <row r="18" spans="1:14" ht="17.25" customHeight="1" x14ac:dyDescent="0.25">
      <c r="A18" s="25">
        <v>13</v>
      </c>
      <c r="B18" s="259" t="s">
        <v>81</v>
      </c>
      <c r="C18" s="260"/>
      <c r="D18" s="260"/>
      <c r="E18" s="260"/>
      <c r="F18" s="260"/>
      <c r="G18" s="260"/>
      <c r="H18" s="260"/>
      <c r="I18" s="260"/>
      <c r="J18" s="260"/>
      <c r="K18" s="260"/>
      <c r="L18" s="260"/>
      <c r="M18" s="260"/>
      <c r="N18" s="261"/>
    </row>
    <row r="19" spans="1:14" ht="20.25" customHeight="1" x14ac:dyDescent="0.25">
      <c r="A19" s="25">
        <v>14</v>
      </c>
      <c r="B19" s="262" t="s">
        <v>80</v>
      </c>
      <c r="C19" s="263"/>
      <c r="D19" s="263"/>
      <c r="E19" s="263"/>
      <c r="F19" s="263"/>
      <c r="G19" s="263"/>
      <c r="H19" s="263"/>
      <c r="I19" s="263"/>
      <c r="J19" s="263"/>
      <c r="K19" s="263"/>
      <c r="L19" s="263"/>
      <c r="M19" s="263"/>
      <c r="N19" s="264"/>
    </row>
    <row r="20" spans="1:14" ht="17.25" customHeight="1" x14ac:dyDescent="0.25">
      <c r="A20" s="25">
        <v>15</v>
      </c>
      <c r="B20" s="250" t="s">
        <v>82</v>
      </c>
      <c r="C20" s="245"/>
      <c r="D20" s="245"/>
      <c r="E20" s="245"/>
      <c r="F20" s="245"/>
      <c r="G20" s="245"/>
      <c r="H20" s="245"/>
      <c r="I20" s="245"/>
      <c r="J20" s="245"/>
      <c r="K20" s="245"/>
      <c r="L20" s="245"/>
      <c r="M20" s="245"/>
      <c r="N20" s="251"/>
    </row>
    <row r="21" spans="1:14" ht="17.25" customHeight="1" x14ac:dyDescent="0.25">
      <c r="A21" s="25">
        <v>16</v>
      </c>
      <c r="B21" s="250" t="s">
        <v>85</v>
      </c>
      <c r="C21" s="245"/>
      <c r="D21" s="245"/>
      <c r="E21" s="245"/>
      <c r="F21" s="245"/>
      <c r="G21" s="245"/>
      <c r="H21" s="245"/>
      <c r="I21" s="245"/>
      <c r="J21" s="245"/>
      <c r="K21" s="245"/>
      <c r="L21" s="245"/>
      <c r="M21" s="245"/>
      <c r="N21" s="251"/>
    </row>
    <row r="22" spans="1:14" ht="17.25" customHeight="1" x14ac:dyDescent="0.25">
      <c r="A22" s="25">
        <v>17</v>
      </c>
      <c r="B22" s="250" t="s">
        <v>86</v>
      </c>
      <c r="C22" s="245"/>
      <c r="D22" s="245"/>
      <c r="E22" s="245"/>
      <c r="F22" s="245"/>
      <c r="G22" s="245"/>
      <c r="H22" s="245"/>
      <c r="I22" s="245"/>
      <c r="J22" s="245"/>
      <c r="K22" s="245"/>
      <c r="L22" s="245"/>
      <c r="M22" s="245"/>
      <c r="N22" s="251"/>
    </row>
    <row r="23" spans="1:14" ht="9" customHeight="1" x14ac:dyDescent="0.25">
      <c r="A23" s="204"/>
      <c r="B23" s="18"/>
      <c r="C23" s="18"/>
      <c r="D23" s="18"/>
      <c r="E23" s="18"/>
      <c r="F23" s="18"/>
      <c r="G23" s="18"/>
      <c r="H23" s="18"/>
      <c r="I23" s="18"/>
      <c r="J23" s="18"/>
      <c r="K23" s="18"/>
      <c r="L23" s="18"/>
      <c r="M23" s="18"/>
      <c r="N23" s="18"/>
    </row>
    <row r="24" spans="1:14" ht="17.25" customHeight="1" x14ac:dyDescent="0.25">
      <c r="A24" s="25">
        <v>18</v>
      </c>
      <c r="B24" s="250" t="s">
        <v>88</v>
      </c>
      <c r="C24" s="245"/>
      <c r="D24" s="245"/>
      <c r="E24" s="245"/>
      <c r="F24" s="245"/>
      <c r="G24" s="245"/>
      <c r="H24" s="245"/>
      <c r="I24" s="245"/>
      <c r="J24" s="245"/>
      <c r="K24" s="245"/>
      <c r="L24" s="245"/>
      <c r="M24" s="245"/>
      <c r="N24" s="251"/>
    </row>
    <row r="25" spans="1:14" ht="28.5" customHeight="1" x14ac:dyDescent="0.25">
      <c r="A25" s="25">
        <v>19</v>
      </c>
      <c r="B25" s="250" t="s">
        <v>94</v>
      </c>
      <c r="C25" s="245"/>
      <c r="D25" s="245"/>
      <c r="E25" s="245"/>
      <c r="F25" s="245"/>
      <c r="G25" s="245"/>
      <c r="H25" s="245"/>
      <c r="I25" s="245"/>
      <c r="J25" s="245"/>
      <c r="K25" s="245"/>
      <c r="L25" s="245"/>
      <c r="M25" s="245"/>
      <c r="N25" s="251"/>
    </row>
    <row r="26" spans="1:14" ht="63.75" customHeight="1" x14ac:dyDescent="0.25">
      <c r="A26" s="25">
        <v>20</v>
      </c>
      <c r="B26" s="250" t="s">
        <v>89</v>
      </c>
      <c r="C26" s="245"/>
      <c r="D26" s="245"/>
      <c r="E26" s="245"/>
      <c r="F26" s="245"/>
      <c r="G26" s="245"/>
      <c r="H26" s="245"/>
      <c r="I26" s="245"/>
      <c r="J26" s="245"/>
      <c r="K26" s="245"/>
      <c r="L26" s="245"/>
      <c r="M26" s="245"/>
      <c r="N26" s="251"/>
    </row>
    <row r="27" spans="1:14" ht="9" customHeight="1" x14ac:dyDescent="0.25">
      <c r="A27" s="204"/>
      <c r="B27" s="18"/>
      <c r="C27" s="18"/>
      <c r="D27" s="18"/>
      <c r="E27" s="18"/>
      <c r="F27" s="18"/>
      <c r="G27" s="18"/>
      <c r="H27" s="18"/>
      <c r="I27" s="18"/>
      <c r="J27" s="18"/>
      <c r="K27" s="18"/>
      <c r="L27" s="18"/>
      <c r="M27" s="18"/>
      <c r="N27" s="18"/>
    </row>
    <row r="28" spans="1:14" ht="17.25" customHeight="1" x14ac:dyDescent="0.25">
      <c r="A28" s="26">
        <v>21</v>
      </c>
      <c r="B28" s="250" t="s">
        <v>93</v>
      </c>
      <c r="C28" s="245"/>
      <c r="D28" s="245"/>
      <c r="E28" s="245"/>
      <c r="F28" s="245"/>
      <c r="G28" s="245"/>
      <c r="H28" s="245"/>
      <c r="I28" s="245"/>
      <c r="J28" s="245"/>
      <c r="K28" s="245"/>
      <c r="L28" s="245"/>
      <c r="M28" s="245"/>
      <c r="N28" s="251"/>
    </row>
    <row r="29" spans="1:14" ht="27.75" customHeight="1" x14ac:dyDescent="0.25">
      <c r="A29" s="25">
        <v>22</v>
      </c>
      <c r="B29" s="250" t="s">
        <v>92</v>
      </c>
      <c r="C29" s="245"/>
      <c r="D29" s="245"/>
      <c r="E29" s="245"/>
      <c r="F29" s="245"/>
      <c r="G29" s="245"/>
      <c r="H29" s="245"/>
      <c r="I29" s="245"/>
      <c r="J29" s="245"/>
      <c r="K29" s="245"/>
      <c r="L29" s="245"/>
      <c r="M29" s="245"/>
      <c r="N29" s="251"/>
    </row>
    <row r="30" spans="1:14" ht="8.25" customHeight="1" x14ac:dyDescent="0.25">
      <c r="A30" s="25"/>
      <c r="B30" s="219"/>
      <c r="C30" s="220"/>
      <c r="D30" s="220"/>
      <c r="E30" s="220"/>
      <c r="F30" s="220"/>
      <c r="G30" s="220"/>
      <c r="H30" s="220"/>
      <c r="I30" s="220"/>
      <c r="J30" s="220"/>
      <c r="K30" s="220"/>
      <c r="L30" s="220"/>
      <c r="M30" s="220"/>
      <c r="N30" s="221"/>
    </row>
    <row r="31" spans="1:14" ht="28.5" customHeight="1" x14ac:dyDescent="0.25">
      <c r="A31" s="25">
        <v>23</v>
      </c>
      <c r="B31" s="250" t="s">
        <v>96</v>
      </c>
      <c r="C31" s="245"/>
      <c r="D31" s="245"/>
      <c r="E31" s="245"/>
      <c r="F31" s="245"/>
      <c r="G31" s="245"/>
      <c r="H31" s="245"/>
      <c r="I31" s="245"/>
      <c r="J31" s="245"/>
      <c r="K31" s="245"/>
      <c r="L31" s="245"/>
      <c r="M31" s="245"/>
      <c r="N31" s="251"/>
    </row>
    <row r="32" spans="1:14" ht="17.25" customHeight="1" x14ac:dyDescent="0.25">
      <c r="A32" s="25">
        <v>24</v>
      </c>
      <c r="B32" s="250" t="s">
        <v>97</v>
      </c>
      <c r="C32" s="245"/>
      <c r="D32" s="245"/>
      <c r="E32" s="245"/>
      <c r="F32" s="245"/>
      <c r="G32" s="245"/>
      <c r="H32" s="245"/>
      <c r="I32" s="245"/>
      <c r="J32" s="245"/>
      <c r="K32" s="245"/>
      <c r="L32" s="245"/>
      <c r="M32" s="245"/>
      <c r="N32" s="251"/>
    </row>
    <row r="33" spans="1:14" ht="9.75" customHeight="1" x14ac:dyDescent="0.25">
      <c r="A33" s="204"/>
      <c r="B33" s="18"/>
      <c r="C33" s="18"/>
      <c r="D33" s="18"/>
      <c r="E33" s="18"/>
      <c r="F33" s="18"/>
      <c r="G33" s="18"/>
      <c r="H33" s="18"/>
      <c r="I33" s="18"/>
      <c r="J33" s="18"/>
      <c r="K33" s="18"/>
      <c r="L33" s="18"/>
      <c r="M33" s="18"/>
      <c r="N33" s="18"/>
    </row>
    <row r="34" spans="1:14" ht="17.25" customHeight="1" x14ac:dyDescent="0.25">
      <c r="A34" s="25">
        <v>25</v>
      </c>
      <c r="B34" s="273" t="s">
        <v>98</v>
      </c>
      <c r="C34" s="245"/>
      <c r="D34" s="245"/>
      <c r="E34" s="245"/>
      <c r="F34" s="245"/>
      <c r="G34" s="245"/>
      <c r="H34" s="245"/>
      <c r="I34" s="245"/>
      <c r="J34" s="245"/>
      <c r="K34" s="245"/>
      <c r="L34" s="245"/>
      <c r="M34" s="245"/>
      <c r="N34" s="251"/>
    </row>
    <row r="35" spans="1:14" ht="17.25" customHeight="1" x14ac:dyDescent="0.25">
      <c r="A35" s="25">
        <v>26</v>
      </c>
      <c r="B35" s="250" t="s">
        <v>99</v>
      </c>
      <c r="C35" s="245"/>
      <c r="D35" s="245"/>
      <c r="E35" s="245"/>
      <c r="F35" s="245"/>
      <c r="G35" s="245"/>
      <c r="H35" s="245"/>
      <c r="I35" s="245"/>
      <c r="J35" s="245"/>
      <c r="K35" s="245"/>
      <c r="L35" s="245"/>
      <c r="M35" s="245"/>
      <c r="N35" s="251"/>
    </row>
    <row r="36" spans="1:14" ht="45.75" customHeight="1" x14ac:dyDescent="0.25">
      <c r="A36" s="25">
        <v>27</v>
      </c>
      <c r="B36" s="250" t="s">
        <v>100</v>
      </c>
      <c r="C36" s="245"/>
      <c r="D36" s="245"/>
      <c r="E36" s="245"/>
      <c r="F36" s="245"/>
      <c r="G36" s="245"/>
      <c r="H36" s="245"/>
      <c r="I36" s="245"/>
      <c r="J36" s="245"/>
      <c r="K36" s="245"/>
      <c r="L36" s="245"/>
      <c r="M36" s="245"/>
      <c r="N36" s="251"/>
    </row>
    <row r="37" spans="1:14" ht="17.25" customHeight="1" x14ac:dyDescent="0.25">
      <c r="A37" s="25">
        <v>28</v>
      </c>
      <c r="B37" s="250" t="s">
        <v>101</v>
      </c>
      <c r="C37" s="245"/>
      <c r="D37" s="245"/>
      <c r="E37" s="245"/>
      <c r="F37" s="245"/>
      <c r="G37" s="245"/>
      <c r="H37" s="245"/>
      <c r="I37" s="245"/>
      <c r="J37" s="245"/>
      <c r="K37" s="245"/>
      <c r="L37" s="245"/>
      <c r="M37" s="245"/>
      <c r="N37" s="251"/>
    </row>
    <row r="38" spans="1:14" ht="42.75" customHeight="1" x14ac:dyDescent="0.25">
      <c r="A38" s="25">
        <v>29</v>
      </c>
      <c r="B38" s="262" t="s">
        <v>102</v>
      </c>
      <c r="C38" s="263"/>
      <c r="D38" s="263"/>
      <c r="E38" s="263"/>
      <c r="F38" s="263"/>
      <c r="G38" s="263"/>
      <c r="H38" s="263"/>
      <c r="I38" s="263"/>
      <c r="J38" s="263"/>
      <c r="K38" s="263"/>
      <c r="L38" s="263"/>
      <c r="M38" s="263"/>
      <c r="N38" s="264"/>
    </row>
    <row r="39" spans="1:14" ht="78" customHeight="1" x14ac:dyDescent="0.25">
      <c r="A39" s="25">
        <v>30</v>
      </c>
      <c r="B39" s="250" t="s">
        <v>103</v>
      </c>
      <c r="C39" s="245"/>
      <c r="D39" s="245"/>
      <c r="E39" s="245"/>
      <c r="F39" s="245"/>
      <c r="G39" s="245"/>
      <c r="H39" s="245"/>
      <c r="I39" s="245"/>
      <c r="J39" s="245"/>
      <c r="K39" s="245"/>
      <c r="L39" s="245"/>
      <c r="M39" s="245"/>
      <c r="N39" s="251"/>
    </row>
    <row r="40" spans="1:14" ht="9" customHeight="1" x14ac:dyDescent="0.25">
      <c r="A40" s="204"/>
      <c r="B40" s="18"/>
      <c r="C40" s="18"/>
      <c r="D40" s="18"/>
      <c r="E40" s="18"/>
      <c r="F40" s="18"/>
      <c r="G40" s="18"/>
      <c r="H40" s="18"/>
      <c r="I40" s="18"/>
      <c r="J40" s="18"/>
      <c r="K40" s="18"/>
      <c r="L40" s="18"/>
      <c r="M40" s="18"/>
      <c r="N40" s="18"/>
    </row>
    <row r="41" spans="1:14" ht="29.25" customHeight="1" x14ac:dyDescent="0.25">
      <c r="A41" s="25">
        <v>31</v>
      </c>
      <c r="B41" s="242" t="s">
        <v>114</v>
      </c>
      <c r="C41" s="243"/>
      <c r="D41" s="243"/>
      <c r="E41" s="243"/>
      <c r="F41" s="243"/>
      <c r="G41" s="243"/>
      <c r="H41" s="243"/>
      <c r="I41" s="243"/>
      <c r="J41" s="243"/>
      <c r="K41" s="243"/>
      <c r="L41" s="243"/>
      <c r="M41" s="243"/>
      <c r="N41" s="244"/>
    </row>
    <row r="42" spans="1:14" ht="28.5" customHeight="1" x14ac:dyDescent="0.25">
      <c r="A42" s="25">
        <v>32</v>
      </c>
      <c r="B42" s="242" t="s">
        <v>115</v>
      </c>
      <c r="C42" s="243"/>
      <c r="D42" s="243"/>
      <c r="E42" s="243"/>
      <c r="F42" s="243"/>
      <c r="G42" s="243"/>
      <c r="H42" s="243"/>
      <c r="I42" s="243"/>
      <c r="J42" s="243"/>
      <c r="K42" s="243"/>
      <c r="L42" s="243"/>
      <c r="M42" s="243"/>
      <c r="N42" s="244"/>
    </row>
    <row r="43" spans="1:14" ht="17.25" customHeight="1" x14ac:dyDescent="0.25">
      <c r="A43" s="25">
        <v>33</v>
      </c>
      <c r="B43" s="265" t="s">
        <v>160</v>
      </c>
      <c r="C43" s="245"/>
      <c r="D43" s="245"/>
      <c r="E43" s="245"/>
      <c r="F43" s="245"/>
      <c r="G43" s="245"/>
      <c r="H43" s="245"/>
      <c r="I43" s="245"/>
      <c r="J43" s="245"/>
      <c r="K43" s="245"/>
      <c r="L43" s="245"/>
      <c r="M43" s="245"/>
      <c r="N43" s="251"/>
    </row>
    <row r="44" spans="1:14" ht="29.25" customHeight="1" x14ac:dyDescent="0.25">
      <c r="A44" s="25">
        <v>34</v>
      </c>
      <c r="B44" s="250" t="s">
        <v>193</v>
      </c>
      <c r="C44" s="245"/>
      <c r="D44" s="245"/>
      <c r="E44" s="245"/>
      <c r="F44" s="245"/>
      <c r="G44" s="245"/>
      <c r="H44" s="245"/>
      <c r="I44" s="245"/>
      <c r="J44" s="245"/>
      <c r="K44" s="245"/>
      <c r="L44" s="245"/>
      <c r="M44" s="245"/>
      <c r="N44" s="251"/>
    </row>
    <row r="45" spans="1:14" ht="17.25" customHeight="1" x14ac:dyDescent="0.25">
      <c r="A45" s="25">
        <v>35</v>
      </c>
      <c r="B45" s="250" t="s">
        <v>197</v>
      </c>
      <c r="C45" s="245"/>
      <c r="D45" s="245"/>
      <c r="E45" s="245"/>
      <c r="F45" s="245"/>
      <c r="G45" s="245"/>
      <c r="H45" s="245"/>
      <c r="I45" s="245"/>
      <c r="J45" s="245"/>
      <c r="K45" s="245"/>
      <c r="L45" s="245"/>
      <c r="M45" s="245"/>
      <c r="N45" s="251"/>
    </row>
    <row r="46" spans="1:14" ht="17.25" customHeight="1" x14ac:dyDescent="0.25">
      <c r="A46" s="25">
        <v>36</v>
      </c>
      <c r="B46" s="262" t="s">
        <v>202</v>
      </c>
      <c r="C46" s="263"/>
      <c r="D46" s="263"/>
      <c r="E46" s="263"/>
      <c r="F46" s="263"/>
      <c r="G46" s="263"/>
      <c r="H46" s="263"/>
      <c r="I46" s="263"/>
      <c r="J46" s="263"/>
      <c r="K46" s="263"/>
      <c r="L46" s="263"/>
      <c r="M46" s="263"/>
      <c r="N46" s="264"/>
    </row>
    <row r="47" spans="1:14" ht="12" customHeight="1" x14ac:dyDescent="0.25">
      <c r="A47" s="25"/>
      <c r="B47" s="250"/>
      <c r="C47" s="245"/>
      <c r="D47" s="245"/>
      <c r="E47" s="245"/>
      <c r="F47" s="245"/>
      <c r="G47" s="245"/>
      <c r="H47" s="245"/>
      <c r="I47" s="245"/>
      <c r="J47" s="245"/>
      <c r="K47" s="245"/>
      <c r="L47" s="245"/>
      <c r="M47" s="245"/>
      <c r="N47" s="251"/>
    </row>
    <row r="48" spans="1:14" ht="17.25" customHeight="1" x14ac:dyDescent="0.25">
      <c r="A48" s="25">
        <v>37</v>
      </c>
      <c r="B48" s="250" t="s">
        <v>206</v>
      </c>
      <c r="C48" s="245"/>
      <c r="D48" s="245"/>
      <c r="E48" s="245"/>
      <c r="F48" s="245"/>
      <c r="G48" s="245"/>
      <c r="H48" s="245"/>
      <c r="I48" s="245"/>
      <c r="J48" s="245"/>
      <c r="K48" s="245"/>
      <c r="L48" s="245"/>
      <c r="M48" s="245"/>
      <c r="N48" s="251"/>
    </row>
    <row r="49" spans="1:14" ht="17.25" customHeight="1" x14ac:dyDescent="0.25">
      <c r="A49" s="25">
        <v>38</v>
      </c>
      <c r="B49" s="250" t="s">
        <v>236</v>
      </c>
      <c r="C49" s="245"/>
      <c r="D49" s="245"/>
      <c r="E49" s="245"/>
      <c r="F49" s="245"/>
      <c r="G49" s="245"/>
      <c r="H49" s="245"/>
      <c r="I49" s="245"/>
      <c r="J49" s="245"/>
      <c r="K49" s="245"/>
      <c r="L49" s="245"/>
      <c r="M49" s="245"/>
      <c r="N49" s="251"/>
    </row>
    <row r="50" spans="1:14" ht="9.75" customHeight="1" x14ac:dyDescent="0.25">
      <c r="A50" s="25"/>
      <c r="B50" s="252"/>
      <c r="C50" s="253"/>
      <c r="D50" s="253"/>
      <c r="E50" s="253"/>
      <c r="F50" s="253"/>
      <c r="G50" s="253"/>
      <c r="H50" s="253"/>
      <c r="I50" s="253"/>
      <c r="J50" s="253"/>
      <c r="K50" s="253"/>
      <c r="L50" s="253"/>
      <c r="M50" s="253"/>
      <c r="N50" s="254"/>
    </row>
    <row r="51" spans="1:14" ht="17.25" customHeight="1" x14ac:dyDescent="0.25">
      <c r="A51" s="25">
        <v>39</v>
      </c>
      <c r="B51" s="250" t="s">
        <v>95</v>
      </c>
      <c r="C51" s="245"/>
      <c r="D51" s="245"/>
      <c r="E51" s="245"/>
      <c r="F51" s="245"/>
      <c r="G51" s="245"/>
      <c r="H51" s="245"/>
      <c r="I51" s="245"/>
      <c r="J51" s="245"/>
      <c r="K51" s="245"/>
      <c r="L51" s="245"/>
      <c r="M51" s="245"/>
      <c r="N51" s="251"/>
    </row>
    <row r="52" spans="1:14" ht="43.5" customHeight="1" x14ac:dyDescent="0.25">
      <c r="A52" s="25">
        <v>40</v>
      </c>
      <c r="B52" s="250" t="s">
        <v>250</v>
      </c>
      <c r="C52" s="245"/>
      <c r="D52" s="245"/>
      <c r="E52" s="245"/>
      <c r="F52" s="245"/>
      <c r="G52" s="245"/>
      <c r="H52" s="245"/>
      <c r="I52" s="245"/>
      <c r="J52" s="245"/>
      <c r="K52" s="245"/>
      <c r="L52" s="245"/>
      <c r="M52" s="245"/>
      <c r="N52" s="251"/>
    </row>
    <row r="53" spans="1:14" ht="49.5" customHeight="1" x14ac:dyDescent="0.25">
      <c r="A53" s="25">
        <v>41</v>
      </c>
      <c r="B53" s="250" t="s">
        <v>251</v>
      </c>
      <c r="C53" s="245"/>
      <c r="D53" s="245"/>
      <c r="E53" s="245"/>
      <c r="F53" s="245"/>
      <c r="G53" s="245"/>
      <c r="H53" s="245"/>
      <c r="I53" s="245"/>
      <c r="J53" s="245"/>
      <c r="K53" s="245"/>
      <c r="L53" s="245"/>
      <c r="M53" s="245"/>
      <c r="N53" s="251"/>
    </row>
    <row r="54" spans="1:14" ht="27.75" customHeight="1" x14ac:dyDescent="0.25">
      <c r="A54" s="25"/>
      <c r="B54" s="242" t="s">
        <v>385</v>
      </c>
      <c r="C54" s="243"/>
      <c r="D54" s="243"/>
      <c r="E54" s="243"/>
      <c r="F54" s="243"/>
      <c r="G54" s="243"/>
      <c r="H54" s="243"/>
      <c r="I54" s="243"/>
      <c r="J54" s="243"/>
      <c r="K54" s="243"/>
      <c r="L54" s="243"/>
      <c r="M54" s="243"/>
      <c r="N54" s="244"/>
    </row>
    <row r="55" spans="1:14" ht="29.25" customHeight="1" x14ac:dyDescent="0.25">
      <c r="A55" s="25">
        <v>42</v>
      </c>
      <c r="B55" s="250" t="s">
        <v>315</v>
      </c>
      <c r="C55" s="245"/>
      <c r="D55" s="245"/>
      <c r="E55" s="245"/>
      <c r="F55" s="245"/>
      <c r="G55" s="245"/>
      <c r="H55" s="245"/>
      <c r="I55" s="245"/>
      <c r="J55" s="245"/>
      <c r="K55" s="245"/>
      <c r="L55" s="245"/>
      <c r="M55" s="245"/>
      <c r="N55" s="251"/>
    </row>
    <row r="56" spans="1:14" ht="35.25" customHeight="1" x14ac:dyDescent="0.25">
      <c r="A56" s="25">
        <v>43</v>
      </c>
      <c r="B56" s="250" t="s">
        <v>311</v>
      </c>
      <c r="C56" s="245"/>
      <c r="D56" s="245"/>
      <c r="E56" s="245"/>
      <c r="F56" s="245"/>
      <c r="G56" s="245"/>
      <c r="H56" s="245"/>
      <c r="I56" s="245"/>
      <c r="J56" s="245"/>
      <c r="K56" s="245"/>
      <c r="L56" s="245"/>
      <c r="M56" s="245"/>
      <c r="N56" s="251"/>
    </row>
    <row r="57" spans="1:14" ht="28.5" customHeight="1" x14ac:dyDescent="0.25">
      <c r="A57" s="25">
        <v>44</v>
      </c>
      <c r="B57" s="250" t="s">
        <v>314</v>
      </c>
      <c r="C57" s="245"/>
      <c r="D57" s="245"/>
      <c r="E57" s="245"/>
      <c r="F57" s="245"/>
      <c r="G57" s="245"/>
      <c r="H57" s="245"/>
      <c r="I57" s="245"/>
      <c r="J57" s="245"/>
      <c r="K57" s="245"/>
      <c r="L57" s="245"/>
      <c r="M57" s="245"/>
      <c r="N57" s="251"/>
    </row>
    <row r="58" spans="1:14" ht="48.75" customHeight="1" x14ac:dyDescent="0.25">
      <c r="A58" s="25">
        <v>45</v>
      </c>
      <c r="B58" s="250" t="s">
        <v>312</v>
      </c>
      <c r="C58" s="245"/>
      <c r="D58" s="245"/>
      <c r="E58" s="245"/>
      <c r="F58" s="245"/>
      <c r="G58" s="245"/>
      <c r="H58" s="245"/>
      <c r="I58" s="245"/>
      <c r="J58" s="245"/>
      <c r="K58" s="245"/>
      <c r="L58" s="245"/>
      <c r="M58" s="245"/>
      <c r="N58" s="251"/>
    </row>
    <row r="59" spans="1:14" ht="17.25" customHeight="1" x14ac:dyDescent="0.25">
      <c r="A59" s="25">
        <v>46</v>
      </c>
      <c r="B59" s="250" t="s">
        <v>316</v>
      </c>
      <c r="C59" s="245"/>
      <c r="D59" s="245"/>
      <c r="E59" s="245"/>
      <c r="F59" s="245"/>
      <c r="G59" s="245"/>
      <c r="H59" s="245"/>
      <c r="I59" s="245"/>
      <c r="J59" s="245"/>
      <c r="K59" s="245"/>
      <c r="L59" s="245"/>
      <c r="M59" s="245"/>
      <c r="N59" s="251"/>
    </row>
    <row r="60" spans="1:14" ht="17.25" customHeight="1" x14ac:dyDescent="0.25">
      <c r="A60" s="25">
        <v>47</v>
      </c>
      <c r="B60" s="250" t="s">
        <v>317</v>
      </c>
      <c r="C60" s="245"/>
      <c r="D60" s="245"/>
      <c r="E60" s="245"/>
      <c r="F60" s="245"/>
      <c r="G60" s="245"/>
      <c r="H60" s="245"/>
      <c r="I60" s="245"/>
      <c r="J60" s="245"/>
      <c r="K60" s="245"/>
      <c r="L60" s="245"/>
      <c r="M60" s="245"/>
      <c r="N60" s="251"/>
    </row>
    <row r="61" spans="1:14" ht="17.25" customHeight="1" x14ac:dyDescent="0.25">
      <c r="A61" s="25">
        <v>48</v>
      </c>
      <c r="B61" s="256" t="s">
        <v>318</v>
      </c>
      <c r="C61" s="257"/>
      <c r="D61" s="257"/>
      <c r="E61" s="257"/>
      <c r="F61" s="257"/>
      <c r="G61" s="257"/>
      <c r="H61" s="257"/>
      <c r="I61" s="257"/>
      <c r="J61" s="257"/>
      <c r="K61" s="257"/>
      <c r="L61" s="257"/>
      <c r="M61" s="257"/>
      <c r="N61" s="258"/>
    </row>
    <row r="62" spans="1:14" ht="17.25" customHeight="1" x14ac:dyDescent="0.25">
      <c r="A62" s="25">
        <v>49</v>
      </c>
      <c r="B62" s="242" t="s">
        <v>319</v>
      </c>
      <c r="C62" s="243"/>
      <c r="D62" s="243"/>
      <c r="E62" s="243"/>
      <c r="F62" s="243"/>
      <c r="G62" s="243"/>
      <c r="H62" s="243"/>
      <c r="I62" s="243"/>
      <c r="J62" s="243"/>
      <c r="K62" s="243"/>
      <c r="L62" s="243"/>
      <c r="M62" s="243"/>
      <c r="N62" s="244"/>
    </row>
    <row r="63" spans="1:14" ht="17.25" customHeight="1" x14ac:dyDescent="0.25">
      <c r="A63" s="25">
        <v>50</v>
      </c>
      <c r="B63" s="250" t="s">
        <v>333</v>
      </c>
      <c r="C63" s="245"/>
      <c r="D63" s="245"/>
      <c r="E63" s="245"/>
      <c r="F63" s="245"/>
      <c r="G63" s="245"/>
      <c r="H63" s="245"/>
      <c r="I63" s="245"/>
      <c r="J63" s="245"/>
      <c r="K63" s="245"/>
      <c r="L63" s="245"/>
      <c r="M63" s="245"/>
      <c r="N63" s="251"/>
    </row>
    <row r="64" spans="1:14" ht="17.25" customHeight="1" x14ac:dyDescent="0.25">
      <c r="A64" s="25">
        <v>51</v>
      </c>
      <c r="B64" s="266" t="s">
        <v>335</v>
      </c>
      <c r="C64" s="263"/>
      <c r="D64" s="263"/>
      <c r="E64" s="263"/>
      <c r="F64" s="263"/>
      <c r="G64" s="263"/>
      <c r="H64" s="263"/>
      <c r="I64" s="263"/>
      <c r="J64" s="263"/>
      <c r="K64" s="263"/>
      <c r="L64" s="263"/>
      <c r="M64" s="263"/>
      <c r="N64" s="264"/>
    </row>
    <row r="65" spans="1:14" ht="17.25" customHeight="1" x14ac:dyDescent="0.25">
      <c r="A65" s="25">
        <v>52</v>
      </c>
      <c r="B65" s="250" t="s">
        <v>336</v>
      </c>
      <c r="C65" s="245"/>
      <c r="D65" s="245"/>
      <c r="E65" s="245"/>
      <c r="F65" s="245"/>
      <c r="G65" s="245"/>
      <c r="H65" s="245"/>
      <c r="I65" s="245"/>
      <c r="J65" s="245"/>
      <c r="K65" s="245"/>
      <c r="L65" s="245"/>
      <c r="M65" s="245"/>
      <c r="N65" s="251"/>
    </row>
    <row r="66" spans="1:14" ht="17.25" customHeight="1" x14ac:dyDescent="0.25">
      <c r="A66" s="25">
        <v>53</v>
      </c>
      <c r="B66" s="250" t="s">
        <v>337</v>
      </c>
      <c r="C66" s="245"/>
      <c r="D66" s="245"/>
      <c r="E66" s="245"/>
      <c r="F66" s="245"/>
      <c r="G66" s="245"/>
      <c r="H66" s="245"/>
      <c r="I66" s="245"/>
      <c r="J66" s="245"/>
      <c r="K66" s="245"/>
      <c r="L66" s="245"/>
      <c r="M66" s="245"/>
      <c r="N66" s="251"/>
    </row>
    <row r="67" spans="1:14" ht="27.75" customHeight="1" x14ac:dyDescent="0.25">
      <c r="A67" s="25">
        <v>54</v>
      </c>
      <c r="B67" s="250" t="s">
        <v>366</v>
      </c>
      <c r="C67" s="245"/>
      <c r="D67" s="245"/>
      <c r="E67" s="245"/>
      <c r="F67" s="245"/>
      <c r="G67" s="245"/>
      <c r="H67" s="245"/>
      <c r="I67" s="245"/>
      <c r="J67" s="245"/>
      <c r="K67" s="245"/>
      <c r="L67" s="245"/>
      <c r="M67" s="245"/>
      <c r="N67" s="251"/>
    </row>
    <row r="68" spans="1:14" ht="17.25" customHeight="1" x14ac:dyDescent="0.25">
      <c r="A68" s="25">
        <v>55</v>
      </c>
      <c r="B68" s="250" t="s">
        <v>367</v>
      </c>
      <c r="C68" s="245"/>
      <c r="D68" s="245"/>
      <c r="E68" s="245"/>
      <c r="F68" s="245"/>
      <c r="G68" s="245"/>
      <c r="H68" s="245"/>
      <c r="I68" s="245"/>
      <c r="J68" s="245"/>
      <c r="K68" s="245"/>
      <c r="L68" s="245"/>
      <c r="M68" s="245"/>
      <c r="N68" s="251"/>
    </row>
    <row r="69" spans="1:14" ht="17.25" customHeight="1" x14ac:dyDescent="0.25">
      <c r="A69" s="25">
        <v>56</v>
      </c>
      <c r="B69" s="250" t="s">
        <v>368</v>
      </c>
      <c r="C69" s="245"/>
      <c r="D69" s="245"/>
      <c r="E69" s="245"/>
      <c r="F69" s="245"/>
      <c r="G69" s="245"/>
      <c r="H69" s="245"/>
      <c r="I69" s="245"/>
      <c r="J69" s="245"/>
      <c r="K69" s="245"/>
      <c r="L69" s="245"/>
      <c r="M69" s="245"/>
      <c r="N69" s="251"/>
    </row>
    <row r="70" spans="1:14" ht="17.25" customHeight="1" x14ac:dyDescent="0.25">
      <c r="A70" s="25">
        <v>57</v>
      </c>
      <c r="B70" s="250" t="s">
        <v>371</v>
      </c>
      <c r="C70" s="245"/>
      <c r="D70" s="245"/>
      <c r="E70" s="245"/>
      <c r="F70" s="245"/>
      <c r="G70" s="245"/>
      <c r="H70" s="245"/>
      <c r="I70" s="245"/>
      <c r="J70" s="245"/>
      <c r="K70" s="245"/>
      <c r="L70" s="245"/>
      <c r="M70" s="245"/>
      <c r="N70" s="251"/>
    </row>
    <row r="71" spans="1:14" ht="17.25" customHeight="1" x14ac:dyDescent="0.25">
      <c r="A71" s="25">
        <v>58</v>
      </c>
      <c r="B71" s="250" t="s">
        <v>376</v>
      </c>
      <c r="C71" s="245"/>
      <c r="D71" s="245"/>
      <c r="E71" s="245"/>
      <c r="F71" s="245"/>
      <c r="G71" s="245"/>
      <c r="H71" s="245"/>
      <c r="I71" s="245"/>
      <c r="J71" s="245"/>
      <c r="K71" s="245"/>
      <c r="L71" s="245"/>
      <c r="M71" s="245"/>
      <c r="N71" s="251"/>
    </row>
    <row r="72" spans="1:14" ht="17.25" customHeight="1" x14ac:dyDescent="0.25">
      <c r="A72" s="25">
        <v>59</v>
      </c>
      <c r="B72" s="250" t="s">
        <v>378</v>
      </c>
      <c r="C72" s="245"/>
      <c r="D72" s="245"/>
      <c r="E72" s="245"/>
      <c r="F72" s="245"/>
      <c r="G72" s="245"/>
      <c r="H72" s="245"/>
      <c r="I72" s="245"/>
      <c r="J72" s="245"/>
      <c r="K72" s="245"/>
      <c r="L72" s="245"/>
      <c r="M72" s="245"/>
      <c r="N72" s="251"/>
    </row>
    <row r="73" spans="1:14" ht="17.25" customHeight="1" x14ac:dyDescent="0.25">
      <c r="A73" s="25">
        <v>60</v>
      </c>
      <c r="B73" s="250" t="s">
        <v>377</v>
      </c>
      <c r="C73" s="245"/>
      <c r="D73" s="245"/>
      <c r="E73" s="245"/>
      <c r="F73" s="245"/>
      <c r="G73" s="245"/>
      <c r="H73" s="245"/>
      <c r="I73" s="245"/>
      <c r="J73" s="245"/>
      <c r="K73" s="245"/>
      <c r="L73" s="245"/>
      <c r="M73" s="245"/>
      <c r="N73" s="251"/>
    </row>
    <row r="74" spans="1:14" ht="17.25" customHeight="1" x14ac:dyDescent="0.25">
      <c r="A74" s="25">
        <v>61</v>
      </c>
      <c r="B74" s="246" t="s">
        <v>379</v>
      </c>
      <c r="C74" s="247"/>
      <c r="D74" s="247"/>
      <c r="E74" s="247"/>
      <c r="F74" s="247"/>
      <c r="G74" s="247"/>
      <c r="H74" s="247"/>
      <c r="I74" s="247"/>
      <c r="J74" s="247"/>
      <c r="K74" s="247"/>
      <c r="L74" s="247"/>
      <c r="M74" s="247"/>
      <c r="N74" s="248"/>
    </row>
    <row r="75" spans="1:14" ht="17.25" customHeight="1" x14ac:dyDescent="0.25">
      <c r="A75" s="25">
        <v>62</v>
      </c>
      <c r="B75" s="249" t="s">
        <v>381</v>
      </c>
      <c r="C75" s="249"/>
      <c r="D75" s="249"/>
      <c r="E75" s="249"/>
      <c r="F75" s="249"/>
      <c r="G75" s="249"/>
      <c r="H75" s="249"/>
      <c r="I75" s="249"/>
      <c r="J75" s="249"/>
      <c r="K75" s="249"/>
      <c r="L75" s="249"/>
      <c r="M75" s="249"/>
      <c r="N75" s="249"/>
    </row>
    <row r="76" spans="1:14" ht="9" customHeight="1" x14ac:dyDescent="0.25">
      <c r="A76" s="25"/>
      <c r="B76" s="218"/>
      <c r="C76" s="218"/>
      <c r="D76" s="218"/>
      <c r="E76" s="218"/>
      <c r="F76" s="218"/>
      <c r="G76" s="218"/>
      <c r="H76" s="218"/>
      <c r="I76" s="218"/>
      <c r="J76" s="218"/>
      <c r="K76" s="218"/>
      <c r="L76" s="218"/>
      <c r="M76" s="218"/>
      <c r="N76" s="218"/>
    </row>
    <row r="77" spans="1:14" ht="17.25" customHeight="1" x14ac:dyDescent="0.25">
      <c r="A77" s="25">
        <v>63</v>
      </c>
      <c r="B77" s="241" t="s">
        <v>383</v>
      </c>
      <c r="C77" s="241"/>
      <c r="D77" s="241"/>
      <c r="E77" s="241"/>
      <c r="F77" s="241"/>
      <c r="G77" s="241"/>
      <c r="H77" s="241"/>
      <c r="I77" s="241"/>
      <c r="J77" s="241"/>
      <c r="K77" s="241"/>
      <c r="L77" s="241"/>
      <c r="M77" s="241"/>
      <c r="N77" s="241"/>
    </row>
    <row r="78" spans="1:14" ht="32.25" customHeight="1" x14ac:dyDescent="0.25">
      <c r="A78" s="25">
        <v>64</v>
      </c>
      <c r="B78" s="245" t="s">
        <v>403</v>
      </c>
      <c r="C78" s="245"/>
      <c r="D78" s="245"/>
      <c r="E78" s="245"/>
      <c r="F78" s="245"/>
      <c r="G78" s="245"/>
      <c r="H78" s="245"/>
      <c r="I78" s="245"/>
      <c r="J78" s="245"/>
      <c r="K78" s="245"/>
      <c r="L78" s="245"/>
      <c r="M78" s="245"/>
      <c r="N78" s="245"/>
    </row>
    <row r="79" spans="1:14" ht="59.25" customHeight="1" x14ac:dyDescent="0.25">
      <c r="A79" s="25">
        <v>65</v>
      </c>
      <c r="B79" s="245" t="s">
        <v>404</v>
      </c>
      <c r="C79" s="241"/>
      <c r="D79" s="241"/>
      <c r="E79" s="241"/>
      <c r="F79" s="241"/>
      <c r="G79" s="241"/>
      <c r="H79" s="241"/>
      <c r="I79" s="241"/>
      <c r="J79" s="241"/>
      <c r="K79" s="241"/>
      <c r="L79" s="241"/>
      <c r="M79" s="241"/>
      <c r="N79" s="241"/>
    </row>
    <row r="80" spans="1:14" ht="57.75" customHeight="1" x14ac:dyDescent="0.25">
      <c r="A80" s="25">
        <v>66</v>
      </c>
      <c r="B80" s="245" t="s">
        <v>405</v>
      </c>
      <c r="C80" s="241"/>
      <c r="D80" s="241"/>
      <c r="E80" s="241"/>
      <c r="F80" s="241"/>
      <c r="G80" s="241"/>
      <c r="H80" s="241"/>
      <c r="I80" s="241"/>
      <c r="J80" s="241"/>
      <c r="K80" s="241"/>
      <c r="L80" s="241"/>
      <c r="M80" s="241"/>
      <c r="N80" s="241"/>
    </row>
    <row r="81" spans="1:15" ht="17.25" customHeight="1" x14ac:dyDescent="0.25">
      <c r="A81" s="25">
        <v>67</v>
      </c>
      <c r="B81" s="241" t="s">
        <v>406</v>
      </c>
      <c r="C81" s="241"/>
      <c r="D81" s="241"/>
      <c r="E81" s="241"/>
      <c r="F81" s="241"/>
      <c r="G81" s="241"/>
      <c r="H81" s="241"/>
      <c r="I81" s="241"/>
      <c r="J81" s="241"/>
      <c r="K81" s="241"/>
      <c r="L81" s="241"/>
      <c r="M81" s="241"/>
      <c r="N81" s="241"/>
    </row>
    <row r="82" spans="1:15" ht="17.25" customHeight="1" x14ac:dyDescent="0.25">
      <c r="A82" s="25">
        <v>68</v>
      </c>
      <c r="B82" s="241"/>
      <c r="C82" s="241"/>
      <c r="D82" s="241"/>
      <c r="E82" s="241"/>
      <c r="F82" s="241"/>
      <c r="G82" s="241"/>
      <c r="H82" s="241"/>
      <c r="I82" s="241"/>
      <c r="J82" s="241"/>
      <c r="K82" s="241"/>
      <c r="L82" s="241"/>
      <c r="M82" s="241"/>
      <c r="N82" s="241"/>
    </row>
    <row r="83" spans="1:15" ht="17.25" customHeight="1" thickBot="1" x14ac:dyDescent="0.3">
      <c r="A83" s="25">
        <v>69</v>
      </c>
      <c r="B83" s="241"/>
      <c r="C83" s="241"/>
      <c r="D83" s="241"/>
      <c r="E83" s="241"/>
      <c r="F83" s="241"/>
      <c r="G83" s="241"/>
      <c r="H83" s="241"/>
      <c r="I83" s="241"/>
      <c r="J83" s="241"/>
      <c r="K83" s="241"/>
      <c r="L83" s="241"/>
      <c r="M83" s="241"/>
      <c r="N83" s="241"/>
    </row>
    <row r="84" spans="1:15" ht="17.25" customHeight="1" x14ac:dyDescent="0.25">
      <c r="A84" s="25">
        <v>70</v>
      </c>
      <c r="B84" s="241"/>
      <c r="C84" s="241"/>
      <c r="D84" s="241"/>
      <c r="E84" s="241"/>
      <c r="F84" s="241"/>
      <c r="G84" s="241"/>
      <c r="H84" s="241"/>
      <c r="I84" s="241"/>
      <c r="J84" s="241"/>
      <c r="K84" s="241"/>
      <c r="L84" s="241"/>
      <c r="M84" s="241"/>
      <c r="N84" s="241"/>
      <c r="O84" s="27"/>
    </row>
    <row r="85" spans="1:15" ht="17.25" customHeight="1" x14ac:dyDescent="0.25">
      <c r="A85" s="25">
        <v>71</v>
      </c>
      <c r="B85" s="241"/>
      <c r="C85" s="241"/>
      <c r="D85" s="241"/>
      <c r="E85" s="241"/>
      <c r="F85" s="241"/>
      <c r="G85" s="241"/>
      <c r="H85" s="241"/>
      <c r="I85" s="241"/>
      <c r="J85" s="241"/>
      <c r="K85" s="241"/>
      <c r="L85" s="241"/>
      <c r="M85" s="241"/>
      <c r="N85" s="241"/>
    </row>
    <row r="86" spans="1:15" ht="17.25" customHeight="1" x14ac:dyDescent="0.25">
      <c r="A86" s="25">
        <v>72</v>
      </c>
      <c r="B86" s="241"/>
      <c r="C86" s="241"/>
      <c r="D86" s="241"/>
      <c r="E86" s="241"/>
      <c r="F86" s="241"/>
      <c r="G86" s="241"/>
      <c r="H86" s="241"/>
      <c r="I86" s="241"/>
      <c r="J86" s="241"/>
      <c r="K86" s="241"/>
      <c r="L86" s="241"/>
      <c r="M86" s="241"/>
      <c r="N86" s="241"/>
    </row>
    <row r="87" spans="1:15" ht="17.25" customHeight="1" x14ac:dyDescent="0.25">
      <c r="A87" s="25">
        <v>73</v>
      </c>
      <c r="B87" s="241"/>
      <c r="C87" s="241"/>
      <c r="D87" s="241"/>
      <c r="E87" s="241"/>
      <c r="F87" s="241"/>
      <c r="G87" s="241"/>
      <c r="H87" s="241"/>
      <c r="I87" s="241"/>
      <c r="J87" s="241"/>
      <c r="K87" s="241"/>
      <c r="L87" s="241"/>
      <c r="M87" s="241"/>
      <c r="N87" s="241"/>
    </row>
    <row r="88" spans="1:15" ht="17.25" customHeight="1" x14ac:dyDescent="0.25">
      <c r="A88" s="25">
        <v>74</v>
      </c>
      <c r="B88" s="241"/>
      <c r="C88" s="241"/>
      <c r="D88" s="241"/>
      <c r="E88" s="241"/>
      <c r="F88" s="241"/>
      <c r="G88" s="241"/>
      <c r="H88" s="241"/>
      <c r="I88" s="241"/>
      <c r="J88" s="241"/>
      <c r="K88" s="241"/>
      <c r="L88" s="241"/>
      <c r="M88" s="241"/>
      <c r="N88" s="241"/>
    </row>
    <row r="89" spans="1:15" ht="17.25" customHeight="1" x14ac:dyDescent="0.25">
      <c r="A89" s="25">
        <v>75</v>
      </c>
      <c r="B89" s="241"/>
      <c r="C89" s="241"/>
      <c r="D89" s="241"/>
      <c r="E89" s="241"/>
      <c r="F89" s="241"/>
      <c r="G89" s="241"/>
      <c r="H89" s="241"/>
      <c r="I89" s="241"/>
      <c r="J89" s="241"/>
      <c r="K89" s="241"/>
      <c r="L89" s="241"/>
      <c r="M89" s="241"/>
      <c r="N89" s="241"/>
    </row>
    <row r="90" spans="1:15" ht="17.25" customHeight="1" x14ac:dyDescent="0.25">
      <c r="A90" s="25">
        <v>76</v>
      </c>
      <c r="B90" s="241"/>
      <c r="C90" s="241"/>
      <c r="D90" s="241"/>
      <c r="E90" s="241"/>
      <c r="F90" s="241"/>
      <c r="G90" s="241"/>
      <c r="H90" s="241"/>
      <c r="I90" s="241"/>
      <c r="J90" s="241"/>
      <c r="K90" s="241"/>
      <c r="L90" s="241"/>
      <c r="M90" s="241"/>
      <c r="N90" s="241"/>
    </row>
    <row r="91" spans="1:15" ht="17.25" customHeight="1" x14ac:dyDescent="0.25">
      <c r="A91" s="25">
        <v>77</v>
      </c>
      <c r="B91" s="241"/>
      <c r="C91" s="241"/>
      <c r="D91" s="241"/>
      <c r="E91" s="241"/>
      <c r="F91" s="241"/>
      <c r="G91" s="241"/>
      <c r="H91" s="241"/>
      <c r="I91" s="241"/>
      <c r="J91" s="241"/>
      <c r="K91" s="241"/>
      <c r="L91" s="241"/>
      <c r="M91" s="241"/>
      <c r="N91" s="241"/>
    </row>
    <row r="92" spans="1:15" ht="17.25" customHeight="1" x14ac:dyDescent="0.25">
      <c r="A92" s="25">
        <v>78</v>
      </c>
      <c r="B92" s="241"/>
      <c r="C92" s="241"/>
      <c r="D92" s="241"/>
      <c r="E92" s="241"/>
      <c r="F92" s="241"/>
      <c r="G92" s="241"/>
      <c r="H92" s="241"/>
      <c r="I92" s="241"/>
      <c r="J92" s="241"/>
      <c r="K92" s="241"/>
      <c r="L92" s="241"/>
      <c r="M92" s="241"/>
      <c r="N92" s="241"/>
    </row>
    <row r="93" spans="1:15" ht="17.25" customHeight="1" x14ac:dyDescent="0.25">
      <c r="A93" s="25">
        <v>79</v>
      </c>
      <c r="B93" s="241"/>
      <c r="C93" s="241"/>
      <c r="D93" s="241"/>
      <c r="E93" s="241"/>
      <c r="F93" s="241"/>
      <c r="G93" s="241"/>
      <c r="H93" s="241"/>
      <c r="I93" s="241"/>
      <c r="J93" s="241"/>
      <c r="K93" s="241"/>
      <c r="L93" s="241"/>
      <c r="M93" s="241"/>
      <c r="N93" s="241"/>
    </row>
    <row r="94" spans="1:15" ht="17.25" customHeight="1" x14ac:dyDescent="0.25">
      <c r="A94" s="25">
        <v>80</v>
      </c>
      <c r="B94" s="241"/>
      <c r="C94" s="241"/>
      <c r="D94" s="241"/>
      <c r="E94" s="241"/>
      <c r="F94" s="241"/>
      <c r="G94" s="241"/>
      <c r="H94" s="241"/>
      <c r="I94" s="241"/>
      <c r="J94" s="241"/>
      <c r="K94" s="241"/>
      <c r="L94" s="241"/>
      <c r="M94" s="241"/>
      <c r="N94" s="241"/>
    </row>
    <row r="95" spans="1:15" ht="17.25" customHeight="1" x14ac:dyDescent="0.25">
      <c r="A95" s="25">
        <v>81</v>
      </c>
      <c r="B95" s="241"/>
      <c r="C95" s="241"/>
      <c r="D95" s="241"/>
      <c r="E95" s="241"/>
      <c r="F95" s="241"/>
      <c r="G95" s="241"/>
      <c r="H95" s="241"/>
      <c r="I95" s="241"/>
      <c r="J95" s="241"/>
      <c r="K95" s="241"/>
      <c r="L95" s="241"/>
      <c r="M95" s="241"/>
      <c r="N95" s="241"/>
    </row>
    <row r="96" spans="1:15" ht="17.25" customHeight="1" x14ac:dyDescent="0.25">
      <c r="A96" s="25">
        <v>82</v>
      </c>
      <c r="B96" s="241"/>
      <c r="C96" s="241"/>
      <c r="D96" s="241"/>
      <c r="E96" s="241"/>
      <c r="F96" s="241"/>
      <c r="G96" s="241"/>
      <c r="H96" s="241"/>
      <c r="I96" s="241"/>
      <c r="J96" s="241"/>
      <c r="K96" s="241"/>
      <c r="L96" s="241"/>
      <c r="M96" s="241"/>
      <c r="N96" s="241"/>
    </row>
    <row r="97" spans="1:14" ht="17.25" customHeight="1" x14ac:dyDescent="0.25">
      <c r="A97" s="25">
        <v>83</v>
      </c>
      <c r="B97" s="241"/>
      <c r="C97" s="241"/>
      <c r="D97" s="241"/>
      <c r="E97" s="241"/>
      <c r="F97" s="241"/>
      <c r="G97" s="241"/>
      <c r="H97" s="241"/>
      <c r="I97" s="241"/>
      <c r="J97" s="241"/>
      <c r="K97" s="241"/>
      <c r="L97" s="241"/>
      <c r="M97" s="241"/>
      <c r="N97" s="241"/>
    </row>
    <row r="98" spans="1:14" ht="17.25" customHeight="1" x14ac:dyDescent="0.25">
      <c r="A98" s="25">
        <v>84</v>
      </c>
      <c r="B98" s="241"/>
      <c r="C98" s="241"/>
      <c r="D98" s="241"/>
      <c r="E98" s="241"/>
      <c r="F98" s="241"/>
      <c r="G98" s="241"/>
      <c r="H98" s="241"/>
      <c r="I98" s="241"/>
      <c r="J98" s="241"/>
      <c r="K98" s="241"/>
      <c r="L98" s="241"/>
      <c r="M98" s="241"/>
      <c r="N98" s="241"/>
    </row>
    <row r="99" spans="1:14" ht="17.25" customHeight="1" x14ac:dyDescent="0.25">
      <c r="A99" s="25">
        <v>85</v>
      </c>
      <c r="B99" s="241"/>
      <c r="C99" s="241"/>
      <c r="D99" s="241"/>
      <c r="E99" s="241"/>
      <c r="F99" s="241"/>
      <c r="G99" s="241"/>
      <c r="H99" s="241"/>
      <c r="I99" s="241"/>
      <c r="J99" s="241"/>
      <c r="K99" s="241"/>
      <c r="L99" s="241"/>
      <c r="M99" s="241"/>
      <c r="N99" s="241"/>
    </row>
    <row r="100" spans="1:14" ht="17.25" customHeight="1" x14ac:dyDescent="0.25">
      <c r="A100" s="25">
        <v>86</v>
      </c>
      <c r="B100" s="241"/>
      <c r="C100" s="241"/>
      <c r="D100" s="241"/>
      <c r="E100" s="241"/>
      <c r="F100" s="241"/>
      <c r="G100" s="241"/>
      <c r="H100" s="241"/>
      <c r="I100" s="241"/>
      <c r="J100" s="241"/>
      <c r="K100" s="241"/>
      <c r="L100" s="241"/>
      <c r="M100" s="241"/>
      <c r="N100" s="241"/>
    </row>
    <row r="101" spans="1:14" ht="17.25" customHeight="1" x14ac:dyDescent="0.25">
      <c r="A101" s="25">
        <v>87</v>
      </c>
      <c r="B101" s="241"/>
      <c r="C101" s="241"/>
      <c r="D101" s="241"/>
      <c r="E101" s="241"/>
      <c r="F101" s="241"/>
      <c r="G101" s="241"/>
      <c r="H101" s="241"/>
      <c r="I101" s="241"/>
      <c r="J101" s="241"/>
      <c r="K101" s="241"/>
      <c r="L101" s="241"/>
      <c r="M101" s="241"/>
      <c r="N101" s="241"/>
    </row>
    <row r="102" spans="1:14" ht="17.25" customHeight="1" x14ac:dyDescent="0.25">
      <c r="A102" s="25">
        <v>88</v>
      </c>
      <c r="B102" s="241"/>
      <c r="C102" s="241"/>
      <c r="D102" s="241"/>
      <c r="E102" s="241"/>
      <c r="F102" s="241"/>
      <c r="G102" s="241"/>
      <c r="H102" s="241"/>
      <c r="I102" s="241"/>
      <c r="J102" s="241"/>
      <c r="K102" s="241"/>
      <c r="L102" s="241"/>
      <c r="M102" s="241"/>
      <c r="N102" s="241"/>
    </row>
    <row r="103" spans="1:14" ht="17.25" customHeight="1" x14ac:dyDescent="0.25">
      <c r="A103" s="25">
        <v>89</v>
      </c>
      <c r="B103" s="241"/>
      <c r="C103" s="241"/>
      <c r="D103" s="241"/>
      <c r="E103" s="241"/>
      <c r="F103" s="241"/>
      <c r="G103" s="241"/>
      <c r="H103" s="241"/>
      <c r="I103" s="241"/>
      <c r="J103" s="241"/>
      <c r="K103" s="241"/>
      <c r="L103" s="241"/>
      <c r="M103" s="241"/>
      <c r="N103" s="241"/>
    </row>
    <row r="104" spans="1:14" ht="17.25" customHeight="1" x14ac:dyDescent="0.25">
      <c r="A104" s="25">
        <v>90</v>
      </c>
      <c r="B104" s="241"/>
      <c r="C104" s="241"/>
      <c r="D104" s="241"/>
      <c r="E104" s="241"/>
      <c r="F104" s="241"/>
      <c r="G104" s="241"/>
      <c r="H104" s="241"/>
      <c r="I104" s="241"/>
      <c r="J104" s="241"/>
      <c r="K104" s="241"/>
      <c r="L104" s="241"/>
      <c r="M104" s="241"/>
      <c r="N104" s="241"/>
    </row>
    <row r="105" spans="1:14" ht="17.25" customHeight="1" x14ac:dyDescent="0.25">
      <c r="A105" s="25">
        <v>91</v>
      </c>
      <c r="B105" s="241"/>
      <c r="C105" s="241"/>
      <c r="D105" s="241"/>
      <c r="E105" s="241"/>
      <c r="F105" s="241"/>
      <c r="G105" s="241"/>
      <c r="H105" s="241"/>
      <c r="I105" s="241"/>
      <c r="J105" s="241"/>
      <c r="K105" s="241"/>
      <c r="L105" s="241"/>
      <c r="M105" s="241"/>
      <c r="N105" s="241"/>
    </row>
    <row r="106" spans="1:14" ht="17.25" customHeight="1" x14ac:dyDescent="0.25">
      <c r="A106" s="25">
        <v>92</v>
      </c>
      <c r="B106" s="241"/>
      <c r="C106" s="241"/>
      <c r="D106" s="241"/>
      <c r="E106" s="241"/>
      <c r="F106" s="241"/>
      <c r="G106" s="241"/>
      <c r="H106" s="241"/>
      <c r="I106" s="241"/>
      <c r="J106" s="241"/>
      <c r="K106" s="241"/>
      <c r="L106" s="241"/>
      <c r="M106" s="241"/>
      <c r="N106" s="241"/>
    </row>
    <row r="107" spans="1:14" ht="17.25" customHeight="1" x14ac:dyDescent="0.25">
      <c r="A107" s="25">
        <v>93</v>
      </c>
      <c r="B107" s="241"/>
      <c r="C107" s="241"/>
      <c r="D107" s="241"/>
      <c r="E107" s="241"/>
      <c r="F107" s="241"/>
      <c r="G107" s="241"/>
      <c r="H107" s="241"/>
      <c r="I107" s="241"/>
      <c r="J107" s="241"/>
      <c r="K107" s="241"/>
      <c r="L107" s="241"/>
      <c r="M107" s="241"/>
      <c r="N107" s="241"/>
    </row>
    <row r="108" spans="1:14" ht="17.25" customHeight="1" x14ac:dyDescent="0.25">
      <c r="A108" s="25">
        <v>94</v>
      </c>
      <c r="B108" s="241"/>
      <c r="C108" s="241"/>
      <c r="D108" s="241"/>
      <c r="E108" s="241"/>
      <c r="F108" s="241"/>
      <c r="G108" s="241"/>
      <c r="H108" s="241"/>
      <c r="I108" s="241"/>
      <c r="J108" s="241"/>
      <c r="K108" s="241"/>
      <c r="L108" s="241"/>
      <c r="M108" s="241"/>
      <c r="N108" s="241"/>
    </row>
    <row r="109" spans="1:14" ht="17.25" customHeight="1" x14ac:dyDescent="0.25">
      <c r="B109" s="241"/>
      <c r="C109" s="241"/>
      <c r="D109" s="241"/>
      <c r="E109" s="241"/>
      <c r="F109" s="241"/>
      <c r="G109" s="241"/>
      <c r="H109" s="241"/>
      <c r="I109" s="241"/>
      <c r="J109" s="241"/>
      <c r="K109" s="241"/>
      <c r="L109" s="241"/>
      <c r="M109" s="241"/>
      <c r="N109" s="241"/>
    </row>
    <row r="110" spans="1:14" ht="17.25" customHeight="1" x14ac:dyDescent="0.25">
      <c r="B110" s="241"/>
      <c r="C110" s="241"/>
      <c r="D110" s="241"/>
      <c r="E110" s="241"/>
      <c r="F110" s="241"/>
      <c r="G110" s="241"/>
      <c r="H110" s="241"/>
      <c r="I110" s="241"/>
      <c r="J110" s="241"/>
      <c r="K110" s="241"/>
      <c r="L110" s="241"/>
      <c r="M110" s="241"/>
      <c r="N110" s="241"/>
    </row>
    <row r="111" spans="1:14" ht="17.25" customHeight="1" x14ac:dyDescent="0.25">
      <c r="B111" s="241"/>
      <c r="C111" s="241"/>
      <c r="D111" s="241"/>
      <c r="E111" s="241"/>
      <c r="F111" s="241"/>
      <c r="G111" s="241"/>
      <c r="H111" s="241"/>
      <c r="I111" s="241"/>
      <c r="J111" s="241"/>
      <c r="K111" s="241"/>
      <c r="L111" s="241"/>
      <c r="M111" s="241"/>
      <c r="N111" s="241"/>
    </row>
    <row r="112" spans="1:14" ht="17.25" customHeight="1" x14ac:dyDescent="0.25">
      <c r="B112" s="241"/>
      <c r="C112" s="241"/>
      <c r="D112" s="241"/>
      <c r="E112" s="241"/>
      <c r="F112" s="241"/>
      <c r="G112" s="241"/>
      <c r="H112" s="241"/>
      <c r="I112" s="241"/>
      <c r="J112" s="241"/>
      <c r="K112" s="241"/>
      <c r="L112" s="241"/>
      <c r="M112" s="241"/>
      <c r="N112" s="241"/>
    </row>
    <row r="113" spans="2:14" ht="17.25" customHeight="1" x14ac:dyDescent="0.25">
      <c r="B113" s="241"/>
      <c r="C113" s="241"/>
      <c r="D113" s="241"/>
      <c r="E113" s="241"/>
      <c r="F113" s="241"/>
      <c r="G113" s="241"/>
      <c r="H113" s="241"/>
      <c r="I113" s="241"/>
      <c r="J113" s="241"/>
      <c r="K113" s="241"/>
      <c r="L113" s="241"/>
      <c r="M113" s="241"/>
      <c r="N113" s="241"/>
    </row>
    <row r="114" spans="2:14" ht="17.25" customHeight="1" x14ac:dyDescent="0.25">
      <c r="B114" s="241"/>
      <c r="C114" s="241"/>
      <c r="D114" s="241"/>
      <c r="E114" s="241"/>
      <c r="F114" s="241"/>
      <c r="G114" s="241"/>
      <c r="H114" s="241"/>
      <c r="I114" s="241"/>
      <c r="J114" s="241"/>
      <c r="K114" s="241"/>
      <c r="L114" s="241"/>
      <c r="M114" s="241"/>
      <c r="N114" s="241"/>
    </row>
    <row r="115" spans="2:14" ht="17.25" customHeight="1" x14ac:dyDescent="0.25">
      <c r="B115" s="241"/>
      <c r="C115" s="241"/>
      <c r="D115" s="241"/>
      <c r="E115" s="241"/>
      <c r="F115" s="241"/>
      <c r="G115" s="241"/>
      <c r="H115" s="241"/>
      <c r="I115" s="241"/>
      <c r="J115" s="241"/>
      <c r="K115" s="241"/>
      <c r="L115" s="241"/>
      <c r="M115" s="241"/>
      <c r="N115" s="241"/>
    </row>
    <row r="116" spans="2:14" ht="17.25" customHeight="1" x14ac:dyDescent="0.25">
      <c r="B116" s="241"/>
      <c r="C116" s="241"/>
      <c r="D116" s="241"/>
      <c r="E116" s="241"/>
      <c r="F116" s="241"/>
      <c r="G116" s="241"/>
      <c r="H116" s="241"/>
      <c r="I116" s="241"/>
      <c r="J116" s="241"/>
      <c r="K116" s="241"/>
      <c r="L116" s="241"/>
      <c r="M116" s="241"/>
      <c r="N116" s="241"/>
    </row>
    <row r="117" spans="2:14" ht="17.25" customHeight="1" x14ac:dyDescent="0.25">
      <c r="B117" s="241"/>
      <c r="C117" s="241"/>
      <c r="D117" s="241"/>
      <c r="E117" s="241"/>
      <c r="F117" s="241"/>
      <c r="G117" s="241"/>
      <c r="H117" s="241"/>
      <c r="I117" s="241"/>
      <c r="J117" s="241"/>
      <c r="K117" s="241"/>
      <c r="L117" s="241"/>
      <c r="M117" s="241"/>
      <c r="N117" s="241"/>
    </row>
    <row r="118" spans="2:14" ht="17.25" customHeight="1" x14ac:dyDescent="0.25">
      <c r="B118" s="241"/>
      <c r="C118" s="241"/>
      <c r="D118" s="241"/>
      <c r="E118" s="241"/>
      <c r="F118" s="241"/>
      <c r="G118" s="241"/>
      <c r="H118" s="241"/>
      <c r="I118" s="241"/>
      <c r="J118" s="241"/>
      <c r="K118" s="241"/>
      <c r="L118" s="241"/>
      <c r="M118" s="241"/>
      <c r="N118" s="241"/>
    </row>
    <row r="119" spans="2:14" ht="17.25" customHeight="1" x14ac:dyDescent="0.25">
      <c r="B119" s="241"/>
      <c r="C119" s="241"/>
      <c r="D119" s="241"/>
      <c r="E119" s="241"/>
      <c r="F119" s="241"/>
      <c r="G119" s="241"/>
      <c r="H119" s="241"/>
      <c r="I119" s="241"/>
      <c r="J119" s="241"/>
      <c r="K119" s="241"/>
      <c r="L119" s="241"/>
      <c r="M119" s="241"/>
      <c r="N119" s="241"/>
    </row>
    <row r="120" spans="2:14" ht="17.25" customHeight="1" x14ac:dyDescent="0.25">
      <c r="B120" s="241"/>
      <c r="C120" s="241"/>
      <c r="D120" s="241"/>
      <c r="E120" s="241"/>
      <c r="F120" s="241"/>
      <c r="G120" s="241"/>
      <c r="H120" s="241"/>
      <c r="I120" s="241"/>
      <c r="J120" s="241"/>
      <c r="K120" s="241"/>
      <c r="L120" s="241"/>
      <c r="M120" s="241"/>
      <c r="N120" s="241"/>
    </row>
    <row r="121" spans="2:14" ht="17.25" customHeight="1" x14ac:dyDescent="0.25">
      <c r="B121" s="241"/>
      <c r="C121" s="241"/>
      <c r="D121" s="241"/>
      <c r="E121" s="241"/>
      <c r="F121" s="241"/>
      <c r="G121" s="241"/>
      <c r="H121" s="241"/>
      <c r="I121" s="241"/>
      <c r="J121" s="241"/>
      <c r="K121" s="241"/>
      <c r="L121" s="241"/>
      <c r="M121" s="241"/>
      <c r="N121" s="241"/>
    </row>
    <row r="122" spans="2:14" ht="17.25" customHeight="1" x14ac:dyDescent="0.25">
      <c r="B122" s="241"/>
      <c r="C122" s="241"/>
      <c r="D122" s="241"/>
      <c r="E122" s="241"/>
      <c r="F122" s="241"/>
      <c r="G122" s="241"/>
      <c r="H122" s="241"/>
      <c r="I122" s="241"/>
      <c r="J122" s="241"/>
      <c r="K122" s="241"/>
      <c r="L122" s="241"/>
      <c r="M122" s="241"/>
      <c r="N122" s="241"/>
    </row>
    <row r="123" spans="2:14" ht="17.25" customHeight="1" x14ac:dyDescent="0.25">
      <c r="B123" s="241"/>
      <c r="C123" s="241"/>
      <c r="D123" s="241"/>
      <c r="E123" s="241"/>
      <c r="F123" s="241"/>
      <c r="G123" s="241"/>
      <c r="H123" s="241"/>
      <c r="I123" s="241"/>
      <c r="J123" s="241"/>
      <c r="K123" s="241"/>
      <c r="L123" s="241"/>
      <c r="M123" s="241"/>
      <c r="N123" s="241"/>
    </row>
    <row r="124" spans="2:14" ht="17.25" customHeight="1" x14ac:dyDescent="0.25">
      <c r="B124" s="241"/>
      <c r="C124" s="241"/>
      <c r="D124" s="241"/>
      <c r="E124" s="241"/>
      <c r="F124" s="241"/>
      <c r="G124" s="241"/>
      <c r="H124" s="241"/>
      <c r="I124" s="241"/>
      <c r="J124" s="241"/>
      <c r="K124" s="241"/>
      <c r="L124" s="241"/>
      <c r="M124" s="241"/>
      <c r="N124" s="241"/>
    </row>
    <row r="125" spans="2:14" ht="17.25" customHeight="1" x14ac:dyDescent="0.25">
      <c r="B125" s="241"/>
      <c r="C125" s="241"/>
      <c r="D125" s="241"/>
      <c r="E125" s="241"/>
      <c r="F125" s="241"/>
      <c r="G125" s="241"/>
      <c r="H125" s="241"/>
      <c r="I125" s="241"/>
      <c r="J125" s="241"/>
      <c r="K125" s="241"/>
      <c r="L125" s="241"/>
      <c r="M125" s="241"/>
      <c r="N125" s="241"/>
    </row>
    <row r="126" spans="2:14" ht="17.25" customHeight="1" x14ac:dyDescent="0.25">
      <c r="B126" s="241"/>
      <c r="C126" s="241"/>
      <c r="D126" s="241"/>
      <c r="E126" s="241"/>
      <c r="F126" s="241"/>
      <c r="G126" s="241"/>
      <c r="H126" s="241"/>
      <c r="I126" s="241"/>
      <c r="J126" s="241"/>
      <c r="K126" s="241"/>
      <c r="L126" s="241"/>
      <c r="M126" s="241"/>
      <c r="N126" s="241"/>
    </row>
    <row r="127" spans="2:14" ht="17.25" customHeight="1" x14ac:dyDescent="0.25">
      <c r="B127" s="241"/>
      <c r="C127" s="241"/>
      <c r="D127" s="241"/>
      <c r="E127" s="241"/>
      <c r="F127" s="241"/>
      <c r="G127" s="241"/>
      <c r="H127" s="241"/>
      <c r="I127" s="241"/>
      <c r="J127" s="241"/>
      <c r="K127" s="241"/>
      <c r="L127" s="241"/>
      <c r="M127" s="241"/>
      <c r="N127" s="241"/>
    </row>
    <row r="128" spans="2:14" ht="17.25" customHeight="1" x14ac:dyDescent="0.25">
      <c r="B128" s="241"/>
      <c r="C128" s="241"/>
      <c r="D128" s="241"/>
      <c r="E128" s="241"/>
      <c r="F128" s="241"/>
      <c r="G128" s="241"/>
      <c r="H128" s="241"/>
      <c r="I128" s="241"/>
      <c r="J128" s="241"/>
      <c r="K128" s="241"/>
      <c r="L128" s="241"/>
      <c r="M128" s="241"/>
      <c r="N128" s="241"/>
    </row>
    <row r="129" spans="2:14" ht="17.25" customHeight="1" x14ac:dyDescent="0.25">
      <c r="B129" s="241"/>
      <c r="C129" s="241"/>
      <c r="D129" s="241"/>
      <c r="E129" s="241"/>
      <c r="F129" s="241"/>
      <c r="G129" s="241"/>
      <c r="H129" s="241"/>
      <c r="I129" s="241"/>
      <c r="J129" s="241"/>
      <c r="K129" s="241"/>
      <c r="L129" s="241"/>
      <c r="M129" s="241"/>
      <c r="N129" s="241"/>
    </row>
    <row r="130" spans="2:14" ht="17.25" customHeight="1" x14ac:dyDescent="0.25">
      <c r="B130" s="241"/>
      <c r="C130" s="241"/>
      <c r="D130" s="241"/>
      <c r="E130" s="241"/>
      <c r="F130" s="241"/>
      <c r="G130" s="241"/>
      <c r="H130" s="241"/>
      <c r="I130" s="241"/>
      <c r="J130" s="241"/>
      <c r="K130" s="241"/>
      <c r="L130" s="241"/>
      <c r="M130" s="241"/>
      <c r="N130" s="241"/>
    </row>
    <row r="131" spans="2:14" ht="17.25" customHeight="1" x14ac:dyDescent="0.25">
      <c r="B131" s="241"/>
      <c r="C131" s="241"/>
      <c r="D131" s="241"/>
      <c r="E131" s="241"/>
      <c r="F131" s="241"/>
      <c r="G131" s="241"/>
      <c r="H131" s="241"/>
      <c r="I131" s="241"/>
      <c r="J131" s="241"/>
      <c r="K131" s="241"/>
      <c r="L131" s="241"/>
      <c r="M131" s="241"/>
      <c r="N131" s="241"/>
    </row>
    <row r="132" spans="2:14" ht="17.25" customHeight="1" x14ac:dyDescent="0.25">
      <c r="B132" s="241"/>
      <c r="C132" s="241"/>
      <c r="D132" s="241"/>
      <c r="E132" s="241"/>
      <c r="F132" s="241"/>
      <c r="G132" s="241"/>
      <c r="H132" s="241"/>
      <c r="I132" s="241"/>
      <c r="J132" s="241"/>
      <c r="K132" s="241"/>
      <c r="L132" s="241"/>
      <c r="M132" s="241"/>
      <c r="N132" s="241"/>
    </row>
    <row r="133" spans="2:14" ht="17.25" customHeight="1" x14ac:dyDescent="0.25">
      <c r="B133" s="241"/>
      <c r="C133" s="241"/>
      <c r="D133" s="241"/>
      <c r="E133" s="241"/>
      <c r="F133" s="241"/>
      <c r="G133" s="241"/>
      <c r="H133" s="241"/>
      <c r="I133" s="241"/>
      <c r="J133" s="241"/>
      <c r="K133" s="241"/>
      <c r="L133" s="241"/>
      <c r="M133" s="241"/>
      <c r="N133" s="241"/>
    </row>
    <row r="134" spans="2:14" ht="17.25" customHeight="1" x14ac:dyDescent="0.25">
      <c r="B134" s="241"/>
      <c r="C134" s="241"/>
      <c r="D134" s="241"/>
      <c r="E134" s="241"/>
      <c r="F134" s="241"/>
      <c r="G134" s="241"/>
      <c r="H134" s="241"/>
      <c r="I134" s="241"/>
      <c r="J134" s="241"/>
      <c r="K134" s="241"/>
      <c r="L134" s="241"/>
      <c r="M134" s="241"/>
      <c r="N134" s="241"/>
    </row>
    <row r="135" spans="2:14" ht="17.25" customHeight="1" x14ac:dyDescent="0.25">
      <c r="B135" s="241"/>
      <c r="C135" s="241"/>
      <c r="D135" s="241"/>
      <c r="E135" s="241"/>
      <c r="F135" s="241"/>
      <c r="G135" s="241"/>
      <c r="H135" s="241"/>
      <c r="I135" s="241"/>
      <c r="J135" s="241"/>
      <c r="K135" s="241"/>
      <c r="L135" s="241"/>
      <c r="M135" s="241"/>
      <c r="N135" s="241"/>
    </row>
  </sheetData>
  <autoFilter ref="A31:N73" xr:uid="{5BD0C89D-0EFC-42D7-8276-00B32D194840}">
    <filterColumn colId="1" showButton="0"/>
    <filterColumn colId="2" showButton="0"/>
    <filterColumn colId="3" showButton="0"/>
    <filterColumn colId="4" showButton="0"/>
    <filterColumn colId="5" showButton="0"/>
    <filterColumn colId="6" showButton="0"/>
    <filterColumn colId="7" showButton="0"/>
    <filterColumn colId="8" showButton="0"/>
    <filterColumn colId="9" showButton="0"/>
    <filterColumn colId="10" showButton="0"/>
    <filterColumn colId="11" showButton="0"/>
    <filterColumn colId="12" showButton="0"/>
  </autoFilter>
  <mergeCells count="126">
    <mergeCell ref="A1:C1"/>
    <mergeCell ref="B2:N2"/>
    <mergeCell ref="B3:N3"/>
    <mergeCell ref="B4:N4"/>
    <mergeCell ref="B5:N5"/>
    <mergeCell ref="B37:N37"/>
    <mergeCell ref="B22:N22"/>
    <mergeCell ref="B24:N24"/>
    <mergeCell ref="B26:N26"/>
    <mergeCell ref="B28:N28"/>
    <mergeCell ref="B29:N29"/>
    <mergeCell ref="B31:N31"/>
    <mergeCell ref="B32:N32"/>
    <mergeCell ref="B34:N34"/>
    <mergeCell ref="B35:N35"/>
    <mergeCell ref="B36:N36"/>
    <mergeCell ref="B14:N14"/>
    <mergeCell ref="B7:N7"/>
    <mergeCell ref="B20:N20"/>
    <mergeCell ref="B21:N21"/>
    <mergeCell ref="B10:N10"/>
    <mergeCell ref="B13:N13"/>
    <mergeCell ref="B64:N64"/>
    <mergeCell ref="B65:N65"/>
    <mergeCell ref="B53:N53"/>
    <mergeCell ref="B55:N55"/>
    <mergeCell ref="B56:N56"/>
    <mergeCell ref="B57:N57"/>
    <mergeCell ref="B58:N58"/>
    <mergeCell ref="B59:N59"/>
    <mergeCell ref="B52:N52"/>
    <mergeCell ref="B38:N38"/>
    <mergeCell ref="B39:N39"/>
    <mergeCell ref="B41:N41"/>
    <mergeCell ref="B42:N42"/>
    <mergeCell ref="B43:N43"/>
    <mergeCell ref="B44:N44"/>
    <mergeCell ref="B45:N45"/>
    <mergeCell ref="B46:N46"/>
    <mergeCell ref="B48:N48"/>
    <mergeCell ref="B49:N49"/>
    <mergeCell ref="B51:N51"/>
    <mergeCell ref="B47:N47"/>
    <mergeCell ref="B50:N50"/>
    <mergeCell ref="B72:N72"/>
    <mergeCell ref="B73:N73"/>
    <mergeCell ref="E8:N8"/>
    <mergeCell ref="G9:N9"/>
    <mergeCell ref="B66:N66"/>
    <mergeCell ref="B67:N67"/>
    <mergeCell ref="B68:N68"/>
    <mergeCell ref="B69:N69"/>
    <mergeCell ref="B70:N70"/>
    <mergeCell ref="B71:N71"/>
    <mergeCell ref="B60:N60"/>
    <mergeCell ref="B61:N61"/>
    <mergeCell ref="B62:N62"/>
    <mergeCell ref="B63:N63"/>
    <mergeCell ref="B11:N11"/>
    <mergeCell ref="B25:N25"/>
    <mergeCell ref="B15:N15"/>
    <mergeCell ref="B16:N16"/>
    <mergeCell ref="B18:N18"/>
    <mergeCell ref="B19:N19"/>
    <mergeCell ref="B80:N80"/>
    <mergeCell ref="B81:N81"/>
    <mergeCell ref="B82:N82"/>
    <mergeCell ref="B83:N83"/>
    <mergeCell ref="B74:N74"/>
    <mergeCell ref="B75:N75"/>
    <mergeCell ref="B77:N77"/>
    <mergeCell ref="B78:N78"/>
    <mergeCell ref="B79:N79"/>
    <mergeCell ref="B90:N90"/>
    <mergeCell ref="B91:N91"/>
    <mergeCell ref="B92:N92"/>
    <mergeCell ref="B93:N93"/>
    <mergeCell ref="B84:N84"/>
    <mergeCell ref="B85:N85"/>
    <mergeCell ref="B86:N86"/>
    <mergeCell ref="B87:N87"/>
    <mergeCell ref="B88:N88"/>
    <mergeCell ref="B89:N89"/>
    <mergeCell ref="B99:N99"/>
    <mergeCell ref="B100:N100"/>
    <mergeCell ref="B101:N101"/>
    <mergeCell ref="B102:N102"/>
    <mergeCell ref="B103:N103"/>
    <mergeCell ref="B94:N94"/>
    <mergeCell ref="B95:N95"/>
    <mergeCell ref="B96:N96"/>
    <mergeCell ref="B97:N97"/>
    <mergeCell ref="B98:N98"/>
    <mergeCell ref="B110:N110"/>
    <mergeCell ref="B111:N111"/>
    <mergeCell ref="B112:N112"/>
    <mergeCell ref="B113:N113"/>
    <mergeCell ref="B104:N104"/>
    <mergeCell ref="B105:N105"/>
    <mergeCell ref="B106:N106"/>
    <mergeCell ref="B107:N107"/>
    <mergeCell ref="B108:N108"/>
    <mergeCell ref="B134:N134"/>
    <mergeCell ref="B135:N135"/>
    <mergeCell ref="B54:N54"/>
    <mergeCell ref="B129:N129"/>
    <mergeCell ref="B130:N130"/>
    <mergeCell ref="B131:N131"/>
    <mergeCell ref="B132:N132"/>
    <mergeCell ref="B133:N133"/>
    <mergeCell ref="B124:N124"/>
    <mergeCell ref="B125:N125"/>
    <mergeCell ref="B126:N126"/>
    <mergeCell ref="B127:N127"/>
    <mergeCell ref="B128:N128"/>
    <mergeCell ref="B119:N119"/>
    <mergeCell ref="B120:N120"/>
    <mergeCell ref="B121:N121"/>
    <mergeCell ref="B122:N122"/>
    <mergeCell ref="B123:N123"/>
    <mergeCell ref="B114:N114"/>
    <mergeCell ref="B115:N115"/>
    <mergeCell ref="B116:N116"/>
    <mergeCell ref="B117:N117"/>
    <mergeCell ref="B118:N118"/>
    <mergeCell ref="B109:N109"/>
  </mergeCells>
  <pageMargins left="0.7" right="0.7" top="0.75" bottom="0.75" header="0.3" footer="0.3"/>
  <pageSetup orientation="portrait" horizontalDpi="90" verticalDpi="9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D628A2-153A-4AB8-96CC-38E01D495AC2}">
  <sheetPr>
    <tabColor rgb="FF0070C0"/>
  </sheetPr>
  <dimension ref="A1:X56"/>
  <sheetViews>
    <sheetView showGridLines="0" workbookViewId="0">
      <pane ySplit="1" topLeftCell="A2" activePane="bottomLeft" state="frozen"/>
      <selection pane="bottomLeft" activeCell="L2" sqref="L2:X2"/>
    </sheetView>
  </sheetViews>
  <sheetFormatPr defaultRowHeight="15" x14ac:dyDescent="0.25"/>
  <cols>
    <col min="1" max="1" width="13" style="14" customWidth="1"/>
    <col min="2" max="5" width="11" customWidth="1"/>
    <col min="6" max="6" width="11.42578125" bestFit="1" customWidth="1"/>
    <col min="7" max="7" width="11" customWidth="1"/>
    <col min="9" max="9" width="19.7109375" customWidth="1"/>
    <col min="10" max="10" width="25" customWidth="1"/>
    <col min="11" max="11" width="7.85546875" customWidth="1"/>
    <col min="14" max="14" width="12.5703125" customWidth="1"/>
    <col min="15" max="15" width="23.85546875" customWidth="1"/>
    <col min="16" max="16" width="6.7109375" customWidth="1"/>
  </cols>
  <sheetData>
    <row r="1" spans="1:24" ht="15.75" thickBot="1" x14ac:dyDescent="0.3">
      <c r="A1" s="39" t="s">
        <v>36</v>
      </c>
      <c r="B1" s="40" t="s">
        <v>37</v>
      </c>
      <c r="C1" s="40" t="s">
        <v>38</v>
      </c>
      <c r="D1" s="40" t="s">
        <v>39</v>
      </c>
      <c r="E1" s="40" t="s">
        <v>40</v>
      </c>
      <c r="F1" s="40" t="s">
        <v>41</v>
      </c>
      <c r="G1" s="41" t="s">
        <v>34</v>
      </c>
      <c r="H1" s="10"/>
      <c r="I1" s="283" t="s">
        <v>217</v>
      </c>
      <c r="J1" s="284"/>
      <c r="K1" s="284"/>
      <c r="L1" s="284"/>
      <c r="M1" s="284"/>
      <c r="N1" s="284"/>
      <c r="O1" s="284"/>
      <c r="P1" s="284"/>
      <c r="Q1" s="284"/>
      <c r="R1" s="284"/>
      <c r="S1" s="284"/>
      <c r="T1" s="284"/>
      <c r="U1" s="284"/>
      <c r="V1" s="285"/>
    </row>
    <row r="2" spans="1:24" s="10" customFormat="1" ht="18.75" x14ac:dyDescent="0.25">
      <c r="A2" s="38">
        <v>44219</v>
      </c>
      <c r="B2" s="27" t="s">
        <v>42</v>
      </c>
      <c r="C2" s="27" t="s">
        <v>43</v>
      </c>
      <c r="D2" s="27" t="s">
        <v>44</v>
      </c>
      <c r="E2" s="27">
        <v>10</v>
      </c>
      <c r="F2" s="27">
        <v>19.989999999999998</v>
      </c>
      <c r="G2" s="28">
        <f t="shared" ref="G2:G44" si="0">E2*F2</f>
        <v>199.89999999999998</v>
      </c>
      <c r="I2" s="12" t="s">
        <v>61</v>
      </c>
      <c r="J2" t="s">
        <v>63</v>
      </c>
      <c r="K2"/>
      <c r="L2" s="278" t="s">
        <v>214</v>
      </c>
      <c r="M2" s="278"/>
      <c r="N2" s="278"/>
      <c r="O2" s="278"/>
      <c r="P2" s="278"/>
      <c r="Q2" s="278"/>
      <c r="R2" s="278"/>
      <c r="S2" s="278"/>
      <c r="T2" s="278"/>
      <c r="U2" s="278"/>
      <c r="V2" s="278"/>
      <c r="W2" s="278"/>
      <c r="X2" s="278"/>
    </row>
    <row r="3" spans="1:24" x14ac:dyDescent="0.25">
      <c r="A3" s="29">
        <v>44236</v>
      </c>
      <c r="B3" s="30" t="s">
        <v>42</v>
      </c>
      <c r="C3" s="30" t="s">
        <v>45</v>
      </c>
      <c r="D3" s="30" t="s">
        <v>46</v>
      </c>
      <c r="E3" s="30">
        <v>40</v>
      </c>
      <c r="F3" s="30">
        <v>4.99</v>
      </c>
      <c r="G3" s="31">
        <f t="shared" si="0"/>
        <v>199.60000000000002</v>
      </c>
      <c r="I3" s="13" t="s">
        <v>42</v>
      </c>
      <c r="J3">
        <v>10909.43</v>
      </c>
      <c r="L3" s="280" t="s">
        <v>215</v>
      </c>
      <c r="M3" s="280"/>
      <c r="N3" s="280"/>
      <c r="O3" s="280"/>
      <c r="P3" s="280"/>
      <c r="Q3" s="280"/>
      <c r="R3" s="280"/>
      <c r="S3" s="280"/>
      <c r="T3" s="280"/>
      <c r="U3" s="280"/>
      <c r="V3" s="280"/>
      <c r="W3" s="280"/>
      <c r="X3" s="280"/>
    </row>
    <row r="4" spans="1:24" x14ac:dyDescent="0.25">
      <c r="A4" s="32">
        <v>44253</v>
      </c>
      <c r="B4" s="33" t="s">
        <v>42</v>
      </c>
      <c r="C4" s="33" t="s">
        <v>47</v>
      </c>
      <c r="D4" s="33" t="s">
        <v>48</v>
      </c>
      <c r="E4" s="33">
        <v>27</v>
      </c>
      <c r="F4" s="33">
        <v>19.989999999999998</v>
      </c>
      <c r="G4" s="34">
        <f t="shared" si="0"/>
        <v>539.7299999999999</v>
      </c>
      <c r="I4" s="15" t="s">
        <v>49</v>
      </c>
      <c r="J4">
        <v>438.37</v>
      </c>
      <c r="L4" s="280" t="s">
        <v>216</v>
      </c>
      <c r="M4" s="280"/>
      <c r="N4" s="280"/>
      <c r="O4" s="280"/>
      <c r="P4" s="280"/>
      <c r="Q4" s="280"/>
      <c r="R4" s="280"/>
      <c r="S4" s="280"/>
      <c r="T4" s="280"/>
      <c r="U4" s="280"/>
      <c r="V4" s="280"/>
      <c r="W4" s="280"/>
      <c r="X4" s="280"/>
    </row>
    <row r="5" spans="1:24" x14ac:dyDescent="0.25">
      <c r="A5" s="29">
        <v>44304</v>
      </c>
      <c r="B5" s="30" t="s">
        <v>42</v>
      </c>
      <c r="C5" s="30" t="s">
        <v>49</v>
      </c>
      <c r="D5" s="30" t="s">
        <v>46</v>
      </c>
      <c r="E5" s="30">
        <v>75</v>
      </c>
      <c r="F5" s="30">
        <v>1.99</v>
      </c>
      <c r="G5" s="31">
        <f t="shared" si="0"/>
        <v>149.25</v>
      </c>
      <c r="I5" s="15" t="s">
        <v>47</v>
      </c>
      <c r="J5">
        <v>1749.8700000000001</v>
      </c>
      <c r="L5" s="278"/>
      <c r="M5" s="278"/>
      <c r="N5" s="278"/>
      <c r="O5" s="278"/>
      <c r="P5" s="278"/>
      <c r="Q5" s="278"/>
      <c r="R5" s="278"/>
      <c r="S5" s="278"/>
      <c r="T5" s="278"/>
      <c r="U5" s="278"/>
      <c r="V5" s="278"/>
      <c r="W5" s="278"/>
      <c r="X5" s="278"/>
    </row>
    <row r="6" spans="1:24" x14ac:dyDescent="0.25">
      <c r="A6" s="32">
        <v>44321</v>
      </c>
      <c r="B6" s="33" t="s">
        <v>42</v>
      </c>
      <c r="C6" s="33" t="s">
        <v>45</v>
      </c>
      <c r="D6" s="33" t="s">
        <v>46</v>
      </c>
      <c r="E6" s="33">
        <v>90</v>
      </c>
      <c r="F6" s="33">
        <v>4.99</v>
      </c>
      <c r="G6" s="34">
        <f t="shared" si="0"/>
        <v>449.1</v>
      </c>
      <c r="I6" s="15" t="s">
        <v>45</v>
      </c>
      <c r="J6">
        <v>2832.15</v>
      </c>
      <c r="L6" s="278"/>
      <c r="M6" s="278"/>
      <c r="N6" s="278"/>
      <c r="O6" s="278"/>
      <c r="P6" s="278"/>
      <c r="Q6" s="278"/>
      <c r="R6" s="278"/>
      <c r="S6" s="278"/>
      <c r="T6" s="278"/>
      <c r="U6" s="278"/>
      <c r="V6" s="278"/>
      <c r="W6" s="278"/>
      <c r="X6" s="278"/>
    </row>
    <row r="7" spans="1:24" x14ac:dyDescent="0.25">
      <c r="A7" s="29">
        <v>44372</v>
      </c>
      <c r="B7" s="30" t="s">
        <v>42</v>
      </c>
      <c r="C7" s="30" t="s">
        <v>50</v>
      </c>
      <c r="D7" s="30" t="s">
        <v>46</v>
      </c>
      <c r="E7" s="30">
        <v>90</v>
      </c>
      <c r="F7" s="30">
        <v>4.99</v>
      </c>
      <c r="G7" s="31">
        <f t="shared" si="0"/>
        <v>449.1</v>
      </c>
      <c r="I7" s="15" t="s">
        <v>43</v>
      </c>
      <c r="J7">
        <v>2309.84</v>
      </c>
      <c r="L7" s="278" t="s">
        <v>218</v>
      </c>
      <c r="M7" s="278"/>
      <c r="N7" s="278"/>
      <c r="O7" s="278"/>
      <c r="P7" s="278"/>
      <c r="Q7" s="278"/>
      <c r="R7" s="278"/>
      <c r="S7" s="278"/>
      <c r="T7" s="278"/>
      <c r="U7" s="278"/>
      <c r="V7" s="278"/>
      <c r="W7" s="278"/>
      <c r="X7" s="278"/>
    </row>
    <row r="8" spans="1:24" x14ac:dyDescent="0.25">
      <c r="A8" s="32">
        <v>44440</v>
      </c>
      <c r="B8" s="33" t="s">
        <v>42</v>
      </c>
      <c r="C8" s="33" t="s">
        <v>51</v>
      </c>
      <c r="D8" s="33" t="s">
        <v>52</v>
      </c>
      <c r="E8" s="33">
        <v>4</v>
      </c>
      <c r="F8" s="33">
        <v>200</v>
      </c>
      <c r="G8" s="34">
        <f t="shared" si="0"/>
        <v>800</v>
      </c>
      <c r="I8" s="15" t="s">
        <v>50</v>
      </c>
      <c r="J8">
        <v>1387.77</v>
      </c>
      <c r="L8" s="278"/>
      <c r="M8" s="278"/>
      <c r="N8" s="278"/>
      <c r="O8" s="278"/>
      <c r="P8" s="278"/>
      <c r="Q8" s="278"/>
      <c r="R8" s="278"/>
      <c r="S8" s="278"/>
      <c r="T8" s="278"/>
      <c r="U8" s="278"/>
      <c r="V8" s="278"/>
      <c r="W8" s="278"/>
      <c r="X8" s="278"/>
    </row>
    <row r="9" spans="1:24" x14ac:dyDescent="0.25">
      <c r="A9" s="29">
        <v>44474</v>
      </c>
      <c r="B9" s="30" t="s">
        <v>42</v>
      </c>
      <c r="C9" s="30" t="s">
        <v>50</v>
      </c>
      <c r="D9" s="30" t="s">
        <v>44</v>
      </c>
      <c r="E9" s="30">
        <v>28</v>
      </c>
      <c r="F9" s="30">
        <v>8.99</v>
      </c>
      <c r="G9" s="31">
        <f t="shared" si="0"/>
        <v>251.72</v>
      </c>
      <c r="I9" s="15" t="s">
        <v>51</v>
      </c>
      <c r="J9">
        <v>2191.4300000000003</v>
      </c>
      <c r="L9" s="278"/>
      <c r="M9" s="278"/>
      <c r="N9" s="278"/>
      <c r="O9" s="278"/>
      <c r="P9" s="278"/>
      <c r="Q9" s="278"/>
      <c r="R9" s="278"/>
      <c r="S9" s="278"/>
      <c r="T9" s="278"/>
      <c r="U9" s="278"/>
      <c r="V9" s="278"/>
      <c r="W9" s="278"/>
      <c r="X9" s="278"/>
    </row>
    <row r="10" spans="1:24" x14ac:dyDescent="0.25">
      <c r="A10" s="32">
        <v>44525</v>
      </c>
      <c r="B10" s="33" t="s">
        <v>42</v>
      </c>
      <c r="C10" s="33" t="s">
        <v>43</v>
      </c>
      <c r="D10" s="33" t="s">
        <v>53</v>
      </c>
      <c r="E10" s="33">
        <v>96</v>
      </c>
      <c r="F10" s="33">
        <v>4.99</v>
      </c>
      <c r="G10" s="34">
        <f t="shared" si="0"/>
        <v>479.04</v>
      </c>
      <c r="I10" s="13" t="s">
        <v>54</v>
      </c>
      <c r="J10">
        <v>6012.1299999999992</v>
      </c>
      <c r="L10" s="278"/>
      <c r="M10" s="278"/>
      <c r="N10" s="278"/>
      <c r="O10" s="278"/>
      <c r="P10" s="278"/>
      <c r="Q10" s="278"/>
      <c r="R10" s="278"/>
      <c r="S10" s="278"/>
      <c r="T10" s="278"/>
      <c r="U10" s="278"/>
      <c r="V10" s="278"/>
      <c r="W10" s="278"/>
      <c r="X10" s="278"/>
    </row>
    <row r="11" spans="1:24" x14ac:dyDescent="0.25">
      <c r="A11" s="29">
        <v>44542</v>
      </c>
      <c r="B11" s="30" t="s">
        <v>42</v>
      </c>
      <c r="C11" s="30" t="s">
        <v>51</v>
      </c>
      <c r="D11" s="30" t="s">
        <v>46</v>
      </c>
      <c r="E11" s="30">
        <v>67</v>
      </c>
      <c r="F11" s="30">
        <v>1.29</v>
      </c>
      <c r="G11" s="31">
        <f t="shared" si="0"/>
        <v>86.43</v>
      </c>
      <c r="I11" s="15" t="s">
        <v>56</v>
      </c>
      <c r="J11">
        <v>536.75</v>
      </c>
      <c r="L11" s="278"/>
      <c r="M11" s="278"/>
      <c r="N11" s="278"/>
      <c r="O11" s="278"/>
      <c r="P11" s="278"/>
      <c r="Q11" s="278"/>
      <c r="R11" s="278"/>
      <c r="S11" s="278"/>
      <c r="T11" s="278"/>
      <c r="U11" s="278"/>
      <c r="V11" s="278"/>
      <c r="W11" s="278"/>
      <c r="X11" s="278"/>
    </row>
    <row r="12" spans="1:24" x14ac:dyDescent="0.25">
      <c r="A12" s="32">
        <v>44576</v>
      </c>
      <c r="B12" s="33" t="s">
        <v>42</v>
      </c>
      <c r="C12" s="33" t="s">
        <v>47</v>
      </c>
      <c r="D12" s="33" t="s">
        <v>44</v>
      </c>
      <c r="E12" s="33">
        <v>46</v>
      </c>
      <c r="F12" s="33">
        <v>8.99</v>
      </c>
      <c r="G12" s="34">
        <f t="shared" si="0"/>
        <v>413.54</v>
      </c>
      <c r="I12" s="15" t="s">
        <v>55</v>
      </c>
      <c r="J12">
        <v>2373.08</v>
      </c>
      <c r="L12" s="278"/>
      <c r="M12" s="278"/>
      <c r="N12" s="278"/>
      <c r="O12" s="278"/>
      <c r="P12" s="278"/>
      <c r="Q12" s="278"/>
      <c r="R12" s="278"/>
      <c r="S12" s="278"/>
      <c r="T12" s="278"/>
      <c r="U12" s="278"/>
      <c r="V12" s="278"/>
      <c r="W12" s="278"/>
      <c r="X12" s="278"/>
    </row>
    <row r="13" spans="1:24" x14ac:dyDescent="0.25">
      <c r="A13" s="29">
        <v>44593</v>
      </c>
      <c r="B13" s="30" t="s">
        <v>42</v>
      </c>
      <c r="C13" s="30" t="s">
        <v>51</v>
      </c>
      <c r="D13" s="30" t="s">
        <v>44</v>
      </c>
      <c r="E13" s="30">
        <v>87</v>
      </c>
      <c r="F13" s="30">
        <v>15</v>
      </c>
      <c r="G13" s="31">
        <f t="shared" si="0"/>
        <v>1305</v>
      </c>
      <c r="I13" s="15" t="s">
        <v>57</v>
      </c>
      <c r="J13">
        <v>3102.2999999999997</v>
      </c>
      <c r="L13" s="278"/>
      <c r="M13" s="278"/>
      <c r="N13" s="278"/>
      <c r="O13" s="278"/>
      <c r="P13" s="278"/>
      <c r="Q13" s="278"/>
      <c r="R13" s="278"/>
      <c r="S13" s="278"/>
      <c r="T13" s="278"/>
      <c r="U13" s="278"/>
      <c r="V13" s="278"/>
      <c r="W13" s="278"/>
      <c r="X13" s="278"/>
    </row>
    <row r="14" spans="1:24" x14ac:dyDescent="0.25">
      <c r="A14" s="32">
        <v>44644</v>
      </c>
      <c r="B14" s="33" t="s">
        <v>42</v>
      </c>
      <c r="C14" s="33" t="s">
        <v>45</v>
      </c>
      <c r="D14" s="33" t="s">
        <v>53</v>
      </c>
      <c r="E14" s="33">
        <v>50</v>
      </c>
      <c r="F14" s="33">
        <v>4.99</v>
      </c>
      <c r="G14" s="34">
        <f t="shared" si="0"/>
        <v>249.5</v>
      </c>
      <c r="I14" s="13" t="s">
        <v>58</v>
      </c>
      <c r="J14">
        <v>2486.7199999999998</v>
      </c>
      <c r="L14" s="278"/>
      <c r="M14" s="278"/>
      <c r="N14" s="278"/>
      <c r="O14" s="278"/>
      <c r="P14" s="278"/>
      <c r="Q14" s="278"/>
      <c r="R14" s="278"/>
      <c r="S14" s="278"/>
      <c r="T14" s="278"/>
      <c r="U14" s="278"/>
      <c r="V14" s="278"/>
      <c r="W14" s="278"/>
      <c r="X14" s="278"/>
    </row>
    <row r="15" spans="1:24" x14ac:dyDescent="0.25">
      <c r="A15" s="29">
        <v>44661</v>
      </c>
      <c r="B15" s="30" t="s">
        <v>42</v>
      </c>
      <c r="C15" s="30" t="s">
        <v>49</v>
      </c>
      <c r="D15" s="30" t="s">
        <v>46</v>
      </c>
      <c r="E15" s="30">
        <v>66</v>
      </c>
      <c r="F15" s="30">
        <v>1.99</v>
      </c>
      <c r="G15" s="31">
        <f t="shared" si="0"/>
        <v>131.34</v>
      </c>
      <c r="I15" s="15" t="s">
        <v>59</v>
      </c>
      <c r="J15">
        <v>1283.6099999999999</v>
      </c>
      <c r="L15" s="278"/>
      <c r="M15" s="278"/>
      <c r="N15" s="278"/>
      <c r="O15" s="278"/>
      <c r="P15" s="278"/>
      <c r="Q15" s="278"/>
      <c r="R15" s="278"/>
      <c r="S15" s="278"/>
      <c r="T15" s="278"/>
      <c r="U15" s="278"/>
      <c r="V15" s="278"/>
      <c r="W15" s="278"/>
      <c r="X15" s="278"/>
    </row>
    <row r="16" spans="1:24" x14ac:dyDescent="0.25">
      <c r="A16" s="32">
        <v>44695</v>
      </c>
      <c r="B16" s="33" t="s">
        <v>42</v>
      </c>
      <c r="C16" s="33" t="s">
        <v>47</v>
      </c>
      <c r="D16" s="33" t="s">
        <v>46</v>
      </c>
      <c r="E16" s="33">
        <v>53</v>
      </c>
      <c r="F16" s="33">
        <v>1.29</v>
      </c>
      <c r="G16" s="34">
        <f t="shared" si="0"/>
        <v>68.37</v>
      </c>
      <c r="I16" s="15" t="s">
        <v>60</v>
      </c>
      <c r="J16">
        <v>1203.1099999999999</v>
      </c>
      <c r="L16" s="278"/>
      <c r="M16" s="278"/>
      <c r="N16" s="278"/>
      <c r="O16" s="278"/>
      <c r="P16" s="278"/>
      <c r="Q16" s="278"/>
      <c r="R16" s="278"/>
      <c r="S16" s="278"/>
      <c r="T16" s="278"/>
      <c r="U16" s="278"/>
      <c r="V16" s="278"/>
      <c r="W16" s="278"/>
      <c r="X16" s="278"/>
    </row>
    <row r="17" spans="1:24" x14ac:dyDescent="0.25">
      <c r="A17" s="29">
        <v>44712</v>
      </c>
      <c r="B17" s="30" t="s">
        <v>42</v>
      </c>
      <c r="C17" s="30" t="s">
        <v>47</v>
      </c>
      <c r="D17" s="30" t="s">
        <v>44</v>
      </c>
      <c r="E17" s="30">
        <v>80</v>
      </c>
      <c r="F17" s="30">
        <v>8.99</v>
      </c>
      <c r="G17" s="31">
        <f t="shared" si="0"/>
        <v>719.2</v>
      </c>
      <c r="I17" s="13" t="s">
        <v>62</v>
      </c>
      <c r="J17">
        <v>19408.280000000002</v>
      </c>
      <c r="L17" s="278"/>
      <c r="M17" s="278"/>
      <c r="N17" s="278"/>
      <c r="O17" s="278"/>
      <c r="P17" s="278"/>
      <c r="Q17" s="278"/>
      <c r="R17" s="278"/>
      <c r="S17" s="278"/>
      <c r="T17" s="278"/>
      <c r="U17" s="278"/>
      <c r="V17" s="278"/>
      <c r="W17" s="278"/>
      <c r="X17" s="278"/>
    </row>
    <row r="18" spans="1:24" x14ac:dyDescent="0.25">
      <c r="A18" s="32">
        <v>44729</v>
      </c>
      <c r="B18" s="33" t="s">
        <v>42</v>
      </c>
      <c r="C18" s="33" t="s">
        <v>43</v>
      </c>
      <c r="D18" s="33" t="s">
        <v>52</v>
      </c>
      <c r="E18" s="33">
        <v>5</v>
      </c>
      <c r="F18" s="33">
        <v>125</v>
      </c>
      <c r="G18" s="34">
        <f t="shared" si="0"/>
        <v>625</v>
      </c>
      <c r="L18" s="278"/>
      <c r="M18" s="278"/>
      <c r="N18" s="278"/>
      <c r="O18" s="278"/>
      <c r="P18" s="278"/>
      <c r="Q18" s="278"/>
      <c r="R18" s="278"/>
      <c r="S18" s="278"/>
      <c r="T18" s="278"/>
      <c r="U18" s="278"/>
      <c r="V18" s="278"/>
      <c r="W18" s="278"/>
      <c r="X18" s="278"/>
    </row>
    <row r="19" spans="1:24" x14ac:dyDescent="0.25">
      <c r="A19" s="29">
        <v>44763</v>
      </c>
      <c r="B19" s="30" t="s">
        <v>42</v>
      </c>
      <c r="C19" s="30" t="s">
        <v>50</v>
      </c>
      <c r="D19" s="30" t="s">
        <v>53</v>
      </c>
      <c r="E19" s="30">
        <v>55</v>
      </c>
      <c r="F19" s="30">
        <v>12.49</v>
      </c>
      <c r="G19" s="31">
        <f t="shared" si="0"/>
        <v>686.95</v>
      </c>
      <c r="L19" s="278"/>
      <c r="M19" s="278"/>
      <c r="N19" s="278"/>
      <c r="O19" s="278"/>
      <c r="P19" s="278"/>
      <c r="Q19" s="278"/>
      <c r="R19" s="278"/>
      <c r="S19" s="278"/>
      <c r="T19" s="278"/>
      <c r="U19" s="278"/>
      <c r="V19" s="278"/>
      <c r="W19" s="278"/>
      <c r="X19" s="278"/>
    </row>
    <row r="20" spans="1:24" ht="18.75" customHeight="1" x14ac:dyDescent="0.25">
      <c r="A20" s="32">
        <v>44780</v>
      </c>
      <c r="B20" s="33" t="s">
        <v>42</v>
      </c>
      <c r="C20" s="33" t="s">
        <v>43</v>
      </c>
      <c r="D20" s="33" t="s">
        <v>53</v>
      </c>
      <c r="E20" s="33">
        <v>42</v>
      </c>
      <c r="F20" s="33">
        <v>23.95</v>
      </c>
      <c r="G20" s="34">
        <f t="shared" si="0"/>
        <v>1005.9</v>
      </c>
      <c r="I20" s="280" t="s">
        <v>213</v>
      </c>
      <c r="J20" s="280"/>
      <c r="K20" s="280"/>
      <c r="L20" s="280"/>
      <c r="M20" s="280"/>
      <c r="N20" s="280"/>
      <c r="O20" s="280"/>
    </row>
    <row r="21" spans="1:24" x14ac:dyDescent="0.25">
      <c r="A21" s="29">
        <v>44814</v>
      </c>
      <c r="B21" s="30" t="s">
        <v>42</v>
      </c>
      <c r="C21" s="30" t="s">
        <v>47</v>
      </c>
      <c r="D21" s="30" t="s">
        <v>46</v>
      </c>
      <c r="E21" s="30">
        <v>7</v>
      </c>
      <c r="F21" s="30">
        <v>1.29</v>
      </c>
      <c r="G21" s="31">
        <f t="shared" si="0"/>
        <v>9.0300000000000011</v>
      </c>
      <c r="I21" s="280" t="s">
        <v>207</v>
      </c>
      <c r="J21" s="280"/>
      <c r="K21" s="280"/>
      <c r="L21" s="280"/>
      <c r="M21" s="280"/>
      <c r="N21" s="280"/>
      <c r="O21" s="280"/>
    </row>
    <row r="22" spans="1:24" x14ac:dyDescent="0.25">
      <c r="A22" s="32">
        <v>44865</v>
      </c>
      <c r="B22" s="33" t="s">
        <v>42</v>
      </c>
      <c r="C22" s="33" t="s">
        <v>49</v>
      </c>
      <c r="D22" s="33" t="s">
        <v>46</v>
      </c>
      <c r="E22" s="33">
        <v>14</v>
      </c>
      <c r="F22" s="33">
        <v>1.29</v>
      </c>
      <c r="G22" s="34">
        <f t="shared" si="0"/>
        <v>18.060000000000002</v>
      </c>
      <c r="I22" s="280" t="s">
        <v>209</v>
      </c>
      <c r="J22" s="280"/>
      <c r="K22" s="280"/>
      <c r="L22" s="280"/>
      <c r="M22" s="280"/>
      <c r="N22" s="280"/>
      <c r="O22" s="280"/>
    </row>
    <row r="23" spans="1:24" x14ac:dyDescent="0.25">
      <c r="A23" s="29">
        <v>44882</v>
      </c>
      <c r="B23" s="30" t="s">
        <v>42</v>
      </c>
      <c r="C23" s="30" t="s">
        <v>45</v>
      </c>
      <c r="D23" s="30" t="s">
        <v>44</v>
      </c>
      <c r="E23" s="30">
        <v>11</v>
      </c>
      <c r="F23" s="30">
        <v>4.99</v>
      </c>
      <c r="G23" s="31">
        <f t="shared" si="0"/>
        <v>54.89</v>
      </c>
      <c r="I23" s="281" t="s">
        <v>208</v>
      </c>
      <c r="J23" s="281"/>
      <c r="K23" s="281"/>
      <c r="L23" s="281"/>
      <c r="M23" s="281"/>
      <c r="N23" s="281"/>
      <c r="O23" s="281"/>
    </row>
    <row r="24" spans="1:24" x14ac:dyDescent="0.25">
      <c r="A24" s="32">
        <v>44899</v>
      </c>
      <c r="B24" s="33" t="s">
        <v>42</v>
      </c>
      <c r="C24" s="33" t="s">
        <v>45</v>
      </c>
      <c r="D24" s="33" t="s">
        <v>44</v>
      </c>
      <c r="E24" s="33">
        <v>94</v>
      </c>
      <c r="F24" s="33">
        <v>19.989999999999998</v>
      </c>
      <c r="G24" s="34">
        <f t="shared" si="0"/>
        <v>1879.06</v>
      </c>
      <c r="I24" s="280"/>
      <c r="J24" s="280"/>
      <c r="K24" s="280"/>
      <c r="L24" s="280"/>
      <c r="M24" s="280"/>
      <c r="N24" s="280"/>
    </row>
    <row r="25" spans="1:24" x14ac:dyDescent="0.25">
      <c r="A25" s="29">
        <v>44916</v>
      </c>
      <c r="B25" s="30" t="s">
        <v>42</v>
      </c>
      <c r="C25" s="30" t="s">
        <v>49</v>
      </c>
      <c r="D25" s="30" t="s">
        <v>44</v>
      </c>
      <c r="E25" s="30">
        <v>28</v>
      </c>
      <c r="F25" s="30">
        <v>4.99</v>
      </c>
      <c r="G25" s="31">
        <f t="shared" si="0"/>
        <v>139.72</v>
      </c>
      <c r="I25" s="280"/>
      <c r="J25" s="280"/>
      <c r="K25" s="280"/>
      <c r="L25" s="280"/>
      <c r="M25" s="280"/>
      <c r="N25" s="280"/>
    </row>
    <row r="26" spans="1:24" x14ac:dyDescent="0.25">
      <c r="A26" s="32">
        <v>44202</v>
      </c>
      <c r="B26" s="33" t="s">
        <v>54</v>
      </c>
      <c r="C26" s="33" t="s">
        <v>55</v>
      </c>
      <c r="D26" s="33" t="s">
        <v>46</v>
      </c>
      <c r="E26" s="33">
        <v>95</v>
      </c>
      <c r="F26" s="33">
        <v>1.99</v>
      </c>
      <c r="G26" s="34">
        <f t="shared" si="0"/>
        <v>189.05</v>
      </c>
      <c r="I26" s="280"/>
      <c r="J26" s="280"/>
      <c r="K26" s="280"/>
      <c r="L26" s="280"/>
      <c r="M26" s="280"/>
      <c r="N26" s="280"/>
    </row>
    <row r="27" spans="1:24" x14ac:dyDescent="0.25">
      <c r="A27" s="29">
        <v>44287</v>
      </c>
      <c r="B27" s="30" t="s">
        <v>54</v>
      </c>
      <c r="C27" s="30" t="s">
        <v>55</v>
      </c>
      <c r="D27" s="30" t="s">
        <v>44</v>
      </c>
      <c r="E27" s="30">
        <v>60</v>
      </c>
      <c r="F27" s="30">
        <v>4.99</v>
      </c>
      <c r="G27" s="31">
        <f t="shared" si="0"/>
        <v>299.40000000000003</v>
      </c>
      <c r="I27" s="280"/>
      <c r="J27" s="280"/>
      <c r="K27" s="280"/>
      <c r="L27" s="280"/>
      <c r="M27" s="280"/>
      <c r="N27" s="280"/>
    </row>
    <row r="28" spans="1:24" x14ac:dyDescent="0.25">
      <c r="A28" s="32">
        <v>44355</v>
      </c>
      <c r="B28" s="33" t="s">
        <v>54</v>
      </c>
      <c r="C28" s="33" t="s">
        <v>55</v>
      </c>
      <c r="D28" s="33" t="s">
        <v>44</v>
      </c>
      <c r="E28" s="33">
        <v>60</v>
      </c>
      <c r="F28" s="33">
        <v>8.99</v>
      </c>
      <c r="G28" s="34">
        <f t="shared" si="0"/>
        <v>539.4</v>
      </c>
      <c r="I28" s="280"/>
      <c r="J28" s="280"/>
      <c r="K28" s="280"/>
      <c r="L28" s="280"/>
      <c r="M28" s="280"/>
      <c r="N28" s="280"/>
    </row>
    <row r="29" spans="1:24" x14ac:dyDescent="0.25">
      <c r="A29" s="29">
        <v>44389</v>
      </c>
      <c r="B29" s="30" t="s">
        <v>54</v>
      </c>
      <c r="C29" s="30" t="s">
        <v>56</v>
      </c>
      <c r="D29" s="30" t="s">
        <v>44</v>
      </c>
      <c r="E29" s="30">
        <v>29</v>
      </c>
      <c r="F29" s="30">
        <v>1.99</v>
      </c>
      <c r="G29" s="31">
        <f t="shared" si="0"/>
        <v>57.71</v>
      </c>
      <c r="I29" s="280"/>
      <c r="J29" s="280"/>
      <c r="K29" s="280"/>
      <c r="L29" s="280"/>
      <c r="M29" s="280"/>
      <c r="N29" s="280"/>
    </row>
    <row r="30" spans="1:24" x14ac:dyDescent="0.25">
      <c r="A30" s="32">
        <v>44406</v>
      </c>
      <c r="B30" s="33" t="s">
        <v>54</v>
      </c>
      <c r="C30" s="33" t="s">
        <v>57</v>
      </c>
      <c r="D30" s="33" t="s">
        <v>44</v>
      </c>
      <c r="E30" s="33">
        <v>81</v>
      </c>
      <c r="F30" s="33">
        <v>19.989999999999998</v>
      </c>
      <c r="G30" s="34">
        <f t="shared" si="0"/>
        <v>1619.1899999999998</v>
      </c>
      <c r="I30" s="280"/>
      <c r="J30" s="280"/>
      <c r="K30" s="280"/>
      <c r="L30" s="280"/>
      <c r="M30" s="280"/>
      <c r="N30" s="280"/>
    </row>
    <row r="31" spans="1:24" x14ac:dyDescent="0.25">
      <c r="A31" s="29">
        <v>44423</v>
      </c>
      <c r="B31" s="30" t="s">
        <v>54</v>
      </c>
      <c r="C31" s="30" t="s">
        <v>55</v>
      </c>
      <c r="D31" s="30" t="s">
        <v>46</v>
      </c>
      <c r="E31" s="30">
        <v>35</v>
      </c>
      <c r="F31" s="30">
        <v>4.99</v>
      </c>
      <c r="G31" s="31">
        <f t="shared" si="0"/>
        <v>174.65</v>
      </c>
      <c r="I31" s="280"/>
      <c r="J31" s="280"/>
      <c r="K31" s="280"/>
      <c r="L31" s="280"/>
      <c r="M31" s="280"/>
      <c r="N31" s="280"/>
    </row>
    <row r="32" spans="1:24" x14ac:dyDescent="0.25">
      <c r="A32" s="32">
        <v>44457</v>
      </c>
      <c r="B32" s="33" t="s">
        <v>54</v>
      </c>
      <c r="C32" s="33" t="s">
        <v>55</v>
      </c>
      <c r="D32" s="33" t="s">
        <v>53</v>
      </c>
      <c r="E32" s="33">
        <v>16</v>
      </c>
      <c r="F32" s="33">
        <v>15.99</v>
      </c>
      <c r="G32" s="34">
        <f t="shared" si="0"/>
        <v>255.84</v>
      </c>
      <c r="I32" s="280"/>
      <c r="J32" s="280"/>
      <c r="K32" s="280"/>
      <c r="L32" s="280"/>
      <c r="M32" s="280"/>
      <c r="N32" s="280"/>
    </row>
    <row r="33" spans="1:16" x14ac:dyDescent="0.25">
      <c r="A33" s="29">
        <v>44491</v>
      </c>
      <c r="B33" s="30" t="s">
        <v>54</v>
      </c>
      <c r="C33" s="30" t="s">
        <v>55</v>
      </c>
      <c r="D33" s="30" t="s">
        <v>48</v>
      </c>
      <c r="E33" s="30">
        <v>64</v>
      </c>
      <c r="F33" s="30">
        <v>8.99</v>
      </c>
      <c r="G33" s="31">
        <f t="shared" si="0"/>
        <v>575.36</v>
      </c>
      <c r="I33" s="280"/>
      <c r="J33" s="280"/>
      <c r="K33" s="280"/>
      <c r="L33" s="280"/>
      <c r="M33" s="280"/>
      <c r="N33" s="280"/>
    </row>
    <row r="34" spans="1:16" x14ac:dyDescent="0.25">
      <c r="A34" s="32">
        <v>44508</v>
      </c>
      <c r="B34" s="33" t="s">
        <v>54</v>
      </c>
      <c r="C34" s="33" t="s">
        <v>57</v>
      </c>
      <c r="D34" s="33" t="s">
        <v>48</v>
      </c>
      <c r="E34" s="33">
        <v>15</v>
      </c>
      <c r="F34" s="33">
        <v>19.989999999999998</v>
      </c>
      <c r="G34" s="34">
        <f t="shared" si="0"/>
        <v>299.84999999999997</v>
      </c>
      <c r="I34" s="280"/>
      <c r="J34" s="280"/>
      <c r="K34" s="280"/>
      <c r="L34" s="280"/>
      <c r="M34" s="280"/>
      <c r="N34" s="280"/>
    </row>
    <row r="35" spans="1:16" x14ac:dyDescent="0.25">
      <c r="A35" s="29">
        <v>44559</v>
      </c>
      <c r="B35" s="30" t="s">
        <v>54</v>
      </c>
      <c r="C35" s="30" t="s">
        <v>57</v>
      </c>
      <c r="D35" s="30" t="s">
        <v>53</v>
      </c>
      <c r="E35" s="30">
        <v>74</v>
      </c>
      <c r="F35" s="30">
        <v>15.99</v>
      </c>
      <c r="G35" s="31">
        <f t="shared" si="0"/>
        <v>1183.26</v>
      </c>
      <c r="I35" s="279"/>
      <c r="J35" s="279"/>
      <c r="K35" s="279"/>
      <c r="L35" s="279"/>
      <c r="M35" s="279"/>
      <c r="N35" s="279"/>
    </row>
    <row r="36" spans="1:16" x14ac:dyDescent="0.25">
      <c r="A36" s="32">
        <v>44610</v>
      </c>
      <c r="B36" s="33" t="s">
        <v>54</v>
      </c>
      <c r="C36" s="33" t="s">
        <v>55</v>
      </c>
      <c r="D36" s="33" t="s">
        <v>44</v>
      </c>
      <c r="E36" s="33">
        <v>5</v>
      </c>
      <c r="F36" s="33">
        <v>6</v>
      </c>
      <c r="G36" s="34">
        <f t="shared" si="0"/>
        <v>30</v>
      </c>
    </row>
    <row r="37" spans="1:16" x14ac:dyDescent="0.25">
      <c r="A37" s="29">
        <v>44678</v>
      </c>
      <c r="B37" s="30" t="s">
        <v>54</v>
      </c>
      <c r="C37" s="30" t="s">
        <v>56</v>
      </c>
      <c r="D37" s="30" t="s">
        <v>48</v>
      </c>
      <c r="E37" s="30">
        <v>96</v>
      </c>
      <c r="F37" s="30">
        <v>4.99</v>
      </c>
      <c r="G37" s="31">
        <f t="shared" si="0"/>
        <v>479.04</v>
      </c>
    </row>
    <row r="38" spans="1:16" x14ac:dyDescent="0.25">
      <c r="A38" s="32">
        <v>44746</v>
      </c>
      <c r="B38" s="33" t="s">
        <v>54</v>
      </c>
      <c r="C38" s="33" t="s">
        <v>55</v>
      </c>
      <c r="D38" s="33" t="s">
        <v>53</v>
      </c>
      <c r="E38" s="33">
        <v>62</v>
      </c>
      <c r="F38" s="33">
        <v>4.99</v>
      </c>
      <c r="G38" s="34">
        <f t="shared" si="0"/>
        <v>309.38</v>
      </c>
    </row>
    <row r="39" spans="1:16" x14ac:dyDescent="0.25">
      <c r="A39" s="29">
        <v>44270</v>
      </c>
      <c r="B39" s="30" t="s">
        <v>58</v>
      </c>
      <c r="C39" s="30" t="s">
        <v>59</v>
      </c>
      <c r="D39" s="30" t="s">
        <v>46</v>
      </c>
      <c r="E39" s="30">
        <v>56</v>
      </c>
      <c r="F39" s="30">
        <v>2.99</v>
      </c>
      <c r="G39" s="31">
        <f t="shared" si="0"/>
        <v>167.44</v>
      </c>
    </row>
    <row r="40" spans="1:16" x14ac:dyDescent="0.25">
      <c r="A40" s="32">
        <v>44338</v>
      </c>
      <c r="B40" s="33" t="s">
        <v>58</v>
      </c>
      <c r="C40" s="33" t="s">
        <v>60</v>
      </c>
      <c r="D40" s="33" t="s">
        <v>46</v>
      </c>
      <c r="E40" s="33">
        <v>32</v>
      </c>
      <c r="F40" s="33">
        <v>1.99</v>
      </c>
      <c r="G40" s="34">
        <f t="shared" si="0"/>
        <v>63.68</v>
      </c>
      <c r="I40" s="278"/>
      <c r="J40" s="278"/>
      <c r="K40" s="278"/>
      <c r="L40" s="278"/>
      <c r="M40" s="278"/>
      <c r="N40" s="278"/>
      <c r="O40" s="278"/>
      <c r="P40" s="278"/>
    </row>
    <row r="41" spans="1:16" x14ac:dyDescent="0.25">
      <c r="A41" s="29">
        <v>44627</v>
      </c>
      <c r="B41" s="30" t="s">
        <v>58</v>
      </c>
      <c r="C41" s="30" t="s">
        <v>59</v>
      </c>
      <c r="D41" s="30" t="s">
        <v>44</v>
      </c>
      <c r="E41" s="30">
        <v>7</v>
      </c>
      <c r="F41" s="30">
        <v>19.989999999999998</v>
      </c>
      <c r="G41" s="31">
        <f t="shared" si="0"/>
        <v>139.92999999999998</v>
      </c>
      <c r="I41" s="280"/>
      <c r="J41" s="280"/>
      <c r="K41" s="280"/>
      <c r="L41" s="280"/>
      <c r="M41" s="280"/>
      <c r="N41" s="280"/>
      <c r="O41" s="280"/>
      <c r="P41" s="280"/>
    </row>
    <row r="42" spans="1:16" ht="15" customHeight="1" x14ac:dyDescent="0.25">
      <c r="A42" s="32">
        <v>44797</v>
      </c>
      <c r="B42" s="33" t="s">
        <v>58</v>
      </c>
      <c r="C42" s="33" t="s">
        <v>59</v>
      </c>
      <c r="D42" s="33" t="s">
        <v>52</v>
      </c>
      <c r="E42" s="33">
        <v>3</v>
      </c>
      <c r="F42" s="33">
        <v>275</v>
      </c>
      <c r="G42" s="34">
        <f t="shared" si="0"/>
        <v>825</v>
      </c>
      <c r="I42" s="278" t="s">
        <v>210</v>
      </c>
      <c r="J42" s="278"/>
      <c r="K42" s="278"/>
      <c r="L42" s="278"/>
      <c r="M42" s="278"/>
      <c r="N42" s="278"/>
      <c r="O42" s="278"/>
      <c r="P42" s="278"/>
    </row>
    <row r="43" spans="1:16" x14ac:dyDescent="0.25">
      <c r="A43" s="29">
        <v>44831</v>
      </c>
      <c r="B43" s="30" t="s">
        <v>58</v>
      </c>
      <c r="C43" s="30" t="s">
        <v>59</v>
      </c>
      <c r="D43" s="30" t="s">
        <v>48</v>
      </c>
      <c r="E43" s="30">
        <v>76</v>
      </c>
      <c r="F43" s="30">
        <v>1.99</v>
      </c>
      <c r="G43" s="31">
        <f t="shared" si="0"/>
        <v>151.24</v>
      </c>
      <c r="I43" s="280" t="s">
        <v>211</v>
      </c>
      <c r="J43" s="280"/>
      <c r="K43" s="280"/>
      <c r="L43" s="280"/>
      <c r="M43" s="280"/>
      <c r="N43" s="280"/>
      <c r="O43" s="280"/>
      <c r="P43" s="280"/>
    </row>
    <row r="44" spans="1:16" ht="15" customHeight="1" x14ac:dyDescent="0.25">
      <c r="A44" s="32">
        <v>44848</v>
      </c>
      <c r="B44" s="33" t="s">
        <v>58</v>
      </c>
      <c r="C44" s="33" t="s">
        <v>60</v>
      </c>
      <c r="D44" s="33" t="s">
        <v>44</v>
      </c>
      <c r="E44" s="33">
        <v>57</v>
      </c>
      <c r="F44" s="33">
        <v>19.989999999999998</v>
      </c>
      <c r="G44" s="34">
        <f t="shared" si="0"/>
        <v>1139.4299999999998</v>
      </c>
      <c r="I44" s="282" t="s">
        <v>212</v>
      </c>
      <c r="J44" s="282"/>
      <c r="K44" s="282"/>
      <c r="L44" s="282"/>
      <c r="M44" s="282"/>
      <c r="N44" s="282"/>
      <c r="O44" s="282"/>
      <c r="P44" s="282"/>
    </row>
    <row r="45" spans="1:16" ht="15.75" thickBot="1" x14ac:dyDescent="0.3">
      <c r="A45" s="35"/>
      <c r="B45" s="36"/>
      <c r="C45" s="36"/>
      <c r="D45" s="36"/>
      <c r="E45" s="36"/>
      <c r="F45" s="36"/>
      <c r="G45" s="37"/>
      <c r="I45" s="280"/>
      <c r="J45" s="280"/>
      <c r="K45" s="280"/>
      <c r="L45" s="280"/>
      <c r="M45" s="280"/>
      <c r="N45" s="280"/>
      <c r="O45" s="280"/>
      <c r="P45" s="280"/>
    </row>
    <row r="46" spans="1:16" x14ac:dyDescent="0.25">
      <c r="A46"/>
      <c r="I46" s="280"/>
      <c r="J46" s="280"/>
      <c r="K46" s="280"/>
      <c r="L46" s="280"/>
      <c r="M46" s="280"/>
      <c r="N46" s="280"/>
      <c r="O46" s="280"/>
      <c r="P46" s="280"/>
    </row>
    <row r="47" spans="1:16" x14ac:dyDescent="0.25">
      <c r="A47"/>
      <c r="I47" s="280"/>
      <c r="J47" s="280"/>
      <c r="K47" s="280"/>
      <c r="L47" s="280"/>
      <c r="M47" s="280"/>
      <c r="N47" s="280"/>
      <c r="O47" s="280"/>
      <c r="P47" s="280"/>
    </row>
    <row r="48" spans="1:16" x14ac:dyDescent="0.25">
      <c r="A48"/>
      <c r="I48" s="280"/>
      <c r="J48" s="280"/>
      <c r="K48" s="280"/>
      <c r="L48" s="280"/>
      <c r="M48" s="280"/>
      <c r="N48" s="280"/>
      <c r="O48" s="280"/>
      <c r="P48" s="280"/>
    </row>
    <row r="49" spans="1:16" x14ac:dyDescent="0.25">
      <c r="A49"/>
      <c r="I49" s="280"/>
      <c r="J49" s="280"/>
      <c r="K49" s="280"/>
      <c r="L49" s="280"/>
      <c r="M49" s="280"/>
      <c r="N49" s="280"/>
      <c r="O49" s="280"/>
      <c r="P49" s="280"/>
    </row>
    <row r="50" spans="1:16" x14ac:dyDescent="0.25">
      <c r="A50"/>
      <c r="I50" s="280"/>
      <c r="J50" s="280"/>
      <c r="K50" s="280"/>
      <c r="L50" s="280"/>
      <c r="M50" s="280"/>
      <c r="N50" s="280"/>
      <c r="O50" s="280"/>
      <c r="P50" s="280"/>
    </row>
    <row r="51" spans="1:16" x14ac:dyDescent="0.25">
      <c r="A51"/>
      <c r="I51" s="280"/>
      <c r="J51" s="280"/>
      <c r="K51" s="280"/>
      <c r="L51" s="280"/>
      <c r="M51" s="280"/>
      <c r="N51" s="280"/>
      <c r="O51" s="280"/>
      <c r="P51" s="280"/>
    </row>
    <row r="52" spans="1:16" x14ac:dyDescent="0.25">
      <c r="A52"/>
      <c r="I52" s="280"/>
      <c r="J52" s="280"/>
      <c r="K52" s="280"/>
      <c r="L52" s="280"/>
      <c r="M52" s="280"/>
      <c r="N52" s="280"/>
      <c r="O52" s="280"/>
      <c r="P52" s="280"/>
    </row>
    <row r="53" spans="1:16" x14ac:dyDescent="0.25">
      <c r="A53"/>
      <c r="I53" s="279"/>
      <c r="J53" s="279"/>
      <c r="K53" s="279"/>
      <c r="L53" s="279"/>
      <c r="M53" s="279"/>
      <c r="N53" s="279"/>
      <c r="O53" s="279"/>
      <c r="P53" s="279"/>
    </row>
    <row r="54" spans="1:16" x14ac:dyDescent="0.25">
      <c r="A54"/>
    </row>
    <row r="55" spans="1:16" x14ac:dyDescent="0.25">
      <c r="A55"/>
    </row>
    <row r="56" spans="1:16" x14ac:dyDescent="0.25">
      <c r="A56"/>
    </row>
  </sheetData>
  <mergeCells count="49">
    <mergeCell ref="I1:V1"/>
    <mergeCell ref="I24:N24"/>
    <mergeCell ref="I25:N25"/>
    <mergeCell ref="I26:N26"/>
    <mergeCell ref="I27:N27"/>
    <mergeCell ref="L2:X2"/>
    <mergeCell ref="L3:X3"/>
    <mergeCell ref="L4:X4"/>
    <mergeCell ref="L5:X5"/>
    <mergeCell ref="L6:X6"/>
    <mergeCell ref="L7:X7"/>
    <mergeCell ref="L8:X8"/>
    <mergeCell ref="L9:X9"/>
    <mergeCell ref="L10:X10"/>
    <mergeCell ref="L11:X11"/>
    <mergeCell ref="L12:X12"/>
    <mergeCell ref="I28:N28"/>
    <mergeCell ref="I29:N29"/>
    <mergeCell ref="I30:N30"/>
    <mergeCell ref="I31:N31"/>
    <mergeCell ref="I32:N32"/>
    <mergeCell ref="I34:N34"/>
    <mergeCell ref="I35:N35"/>
    <mergeCell ref="I42:P42"/>
    <mergeCell ref="I40:P40"/>
    <mergeCell ref="I41:P41"/>
    <mergeCell ref="I53:P53"/>
    <mergeCell ref="I20:O20"/>
    <mergeCell ref="I21:O21"/>
    <mergeCell ref="I22:O22"/>
    <mergeCell ref="I23:O23"/>
    <mergeCell ref="I48:P48"/>
    <mergeCell ref="I49:P49"/>
    <mergeCell ref="I50:P50"/>
    <mergeCell ref="I51:P51"/>
    <mergeCell ref="I52:P52"/>
    <mergeCell ref="I43:P43"/>
    <mergeCell ref="I44:P44"/>
    <mergeCell ref="I45:P45"/>
    <mergeCell ref="I46:P46"/>
    <mergeCell ref="I47:P47"/>
    <mergeCell ref="I33:N33"/>
    <mergeCell ref="L18:X18"/>
    <mergeCell ref="L19:X19"/>
    <mergeCell ref="L13:X13"/>
    <mergeCell ref="L14:X14"/>
    <mergeCell ref="L15:X15"/>
    <mergeCell ref="L16:X16"/>
    <mergeCell ref="L17:X17"/>
  </mergeCells>
  <pageMargins left="0.7" right="0.7" top="0.75" bottom="0.75" header="0.3" footer="0.3"/>
  <pageSetup orientation="portrait" horizontalDpi="90" verticalDpi="90" r:id="rId2"/>
  <drawing r:id="rId3"/>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91C4A-F316-45AB-9336-B0B21337D753}">
  <sheetPr>
    <tabColor rgb="FF00B050"/>
  </sheetPr>
  <dimension ref="A1:M84"/>
  <sheetViews>
    <sheetView topLeftCell="A42" zoomScaleNormal="100" workbookViewId="0">
      <selection activeCell="H89" sqref="H89"/>
    </sheetView>
  </sheetViews>
  <sheetFormatPr defaultRowHeight="15" x14ac:dyDescent="0.25"/>
  <cols>
    <col min="1" max="1" width="45.7109375" customWidth="1"/>
    <col min="2" max="2" width="5" customWidth="1"/>
    <col min="3" max="3" width="14.140625" customWidth="1"/>
    <col min="4" max="4" width="11.28515625" customWidth="1"/>
    <col min="5" max="5" width="11.7109375" customWidth="1"/>
    <col min="6" max="6" width="11.140625" customWidth="1"/>
    <col min="7" max="7" width="11.42578125" customWidth="1"/>
    <col min="8" max="8" width="9" customWidth="1"/>
    <col min="10" max="10" width="7.5703125" customWidth="1"/>
    <col min="11" max="11" width="10.5703125" customWidth="1"/>
    <col min="12" max="12" width="6.85546875" customWidth="1"/>
    <col min="13" max="13" width="106.5703125" customWidth="1"/>
  </cols>
  <sheetData>
    <row r="1" spans="3:13" ht="29.25" customHeight="1" thickBot="1" x14ac:dyDescent="0.3">
      <c r="C1" s="289" t="s">
        <v>104</v>
      </c>
      <c r="D1" s="289"/>
      <c r="E1" s="289"/>
      <c r="F1" s="289"/>
      <c r="G1" s="289"/>
    </row>
    <row r="2" spans="3:13" ht="15.75" thickBot="1" x14ac:dyDescent="0.3">
      <c r="C2" s="54" t="s">
        <v>111</v>
      </c>
      <c r="D2" s="55" t="s">
        <v>105</v>
      </c>
      <c r="E2" s="55" t="s">
        <v>106</v>
      </c>
      <c r="F2" s="56" t="s">
        <v>110</v>
      </c>
      <c r="L2">
        <v>1</v>
      </c>
      <c r="M2" t="s">
        <v>116</v>
      </c>
    </row>
    <row r="3" spans="3:13" x14ac:dyDescent="0.25">
      <c r="C3" s="50">
        <v>1</v>
      </c>
      <c r="D3" s="51" t="s">
        <v>57</v>
      </c>
      <c r="E3" s="52" t="s">
        <v>107</v>
      </c>
      <c r="F3" s="53">
        <v>58</v>
      </c>
      <c r="L3">
        <v>2</v>
      </c>
      <c r="M3" t="s">
        <v>112</v>
      </c>
    </row>
    <row r="4" spans="3:13" x14ac:dyDescent="0.25">
      <c r="C4" s="43">
        <v>2</v>
      </c>
      <c r="D4" s="45" t="s">
        <v>55</v>
      </c>
      <c r="E4" s="45" t="s">
        <v>107</v>
      </c>
      <c r="F4" s="46">
        <v>43</v>
      </c>
      <c r="L4">
        <v>3</v>
      </c>
      <c r="M4" t="s">
        <v>117</v>
      </c>
    </row>
    <row r="5" spans="3:13" x14ac:dyDescent="0.25">
      <c r="C5" s="43">
        <v>3</v>
      </c>
      <c r="D5" s="44" t="s">
        <v>56</v>
      </c>
      <c r="E5" s="45" t="s">
        <v>108</v>
      </c>
      <c r="F5" s="46">
        <v>65</v>
      </c>
      <c r="L5">
        <v>4</v>
      </c>
      <c r="M5" s="57" t="s">
        <v>113</v>
      </c>
    </row>
    <row r="6" spans="3:13" x14ac:dyDescent="0.25">
      <c r="C6" s="43">
        <v>4</v>
      </c>
      <c r="D6" s="45" t="s">
        <v>60</v>
      </c>
      <c r="E6" s="45" t="s">
        <v>108</v>
      </c>
      <c r="F6" s="46">
        <v>100</v>
      </c>
    </row>
    <row r="7" spans="3:13" x14ac:dyDescent="0.25">
      <c r="C7" s="43">
        <v>5</v>
      </c>
      <c r="D7" s="44" t="s">
        <v>59</v>
      </c>
      <c r="E7" s="45" t="s">
        <v>109</v>
      </c>
      <c r="F7" s="46">
        <v>45</v>
      </c>
    </row>
    <row r="8" spans="3:13" ht="15.75" thickBot="1" x14ac:dyDescent="0.3">
      <c r="C8" s="47">
        <v>6</v>
      </c>
      <c r="D8" s="48" t="s">
        <v>47</v>
      </c>
      <c r="E8" s="48" t="s">
        <v>109</v>
      </c>
      <c r="F8" s="49">
        <v>80</v>
      </c>
    </row>
    <row r="18" spans="3:13" ht="30" customHeight="1" thickBot="1" x14ac:dyDescent="0.3">
      <c r="C18" s="289" t="s">
        <v>139</v>
      </c>
      <c r="D18" s="289"/>
      <c r="E18" s="289"/>
      <c r="F18" s="289"/>
      <c r="G18" s="289"/>
      <c r="M18" s="59" t="s">
        <v>138</v>
      </c>
    </row>
    <row r="19" spans="3:13" ht="15.75" thickBot="1" x14ac:dyDescent="0.3">
      <c r="C19" s="68" t="s">
        <v>105</v>
      </c>
      <c r="D19" s="69" t="s">
        <v>124</v>
      </c>
      <c r="E19" s="69" t="s">
        <v>125</v>
      </c>
      <c r="F19" s="69" t="s">
        <v>126</v>
      </c>
      <c r="G19" s="69" t="s">
        <v>127</v>
      </c>
      <c r="H19" s="69" t="s">
        <v>128</v>
      </c>
      <c r="I19" s="69" t="s">
        <v>129</v>
      </c>
      <c r="J19" s="70" t="s">
        <v>110</v>
      </c>
      <c r="K19" s="67" t="s">
        <v>155</v>
      </c>
      <c r="M19" t="s">
        <v>118</v>
      </c>
    </row>
    <row r="20" spans="3:13" x14ac:dyDescent="0.25">
      <c r="C20" s="42" t="s">
        <v>131</v>
      </c>
      <c r="D20" s="58" t="s">
        <v>109</v>
      </c>
      <c r="E20" s="58">
        <v>20</v>
      </c>
      <c r="F20" s="58">
        <v>10</v>
      </c>
      <c r="G20" s="58">
        <v>55</v>
      </c>
      <c r="H20" s="58">
        <v>15</v>
      </c>
      <c r="I20" s="58">
        <v>20</v>
      </c>
      <c r="J20" s="71">
        <v>80</v>
      </c>
      <c r="K20" s="72">
        <v>45349</v>
      </c>
      <c r="M20" t="s">
        <v>119</v>
      </c>
    </row>
    <row r="21" spans="3:13" x14ac:dyDescent="0.25">
      <c r="C21" s="43" t="s">
        <v>132</v>
      </c>
      <c r="D21" s="45" t="s">
        <v>107</v>
      </c>
      <c r="E21" s="45">
        <v>95</v>
      </c>
      <c r="F21" s="45">
        <v>125</v>
      </c>
      <c r="G21" s="45">
        <v>79</v>
      </c>
      <c r="H21" s="45">
        <v>60</v>
      </c>
      <c r="I21" s="45">
        <v>100</v>
      </c>
      <c r="J21" s="65">
        <v>81</v>
      </c>
      <c r="K21" s="73">
        <v>45617</v>
      </c>
      <c r="M21" t="s">
        <v>120</v>
      </c>
    </row>
    <row r="22" spans="3:13" x14ac:dyDescent="0.25">
      <c r="C22" s="43" t="s">
        <v>133</v>
      </c>
      <c r="D22" s="45" t="s">
        <v>109</v>
      </c>
      <c r="E22" s="45">
        <v>130</v>
      </c>
      <c r="F22" s="45">
        <v>85</v>
      </c>
      <c r="G22" s="45">
        <v>80</v>
      </c>
      <c r="H22" s="45">
        <v>85</v>
      </c>
      <c r="I22" s="45">
        <v>95</v>
      </c>
      <c r="J22" s="65">
        <v>60</v>
      </c>
      <c r="K22" s="73">
        <v>45617</v>
      </c>
      <c r="M22" t="s">
        <v>121</v>
      </c>
    </row>
    <row r="23" spans="3:13" x14ac:dyDescent="0.25">
      <c r="C23" s="43" t="s">
        <v>134</v>
      </c>
      <c r="D23" s="45" t="s">
        <v>108</v>
      </c>
      <c r="E23" s="45">
        <v>48</v>
      </c>
      <c r="F23" s="45">
        <v>48</v>
      </c>
      <c r="G23" s="45">
        <v>48</v>
      </c>
      <c r="H23" s="45">
        <v>48</v>
      </c>
      <c r="I23" s="45">
        <v>48</v>
      </c>
      <c r="J23" s="65">
        <v>48</v>
      </c>
      <c r="K23" s="73">
        <v>45563</v>
      </c>
      <c r="M23" t="s">
        <v>122</v>
      </c>
    </row>
    <row r="24" spans="3:13" x14ac:dyDescent="0.25">
      <c r="C24" s="43" t="s">
        <v>135</v>
      </c>
      <c r="D24" s="45" t="s">
        <v>108</v>
      </c>
      <c r="E24" s="45">
        <v>55</v>
      </c>
      <c r="F24" s="45">
        <v>55</v>
      </c>
      <c r="G24" s="45">
        <v>50</v>
      </c>
      <c r="H24" s="45">
        <v>45</v>
      </c>
      <c r="I24" s="45">
        <v>65</v>
      </c>
      <c r="J24" s="65">
        <v>55</v>
      </c>
      <c r="K24" s="73">
        <v>45553</v>
      </c>
      <c r="M24" t="s">
        <v>123</v>
      </c>
    </row>
    <row r="25" spans="3:13" x14ac:dyDescent="0.25">
      <c r="C25" s="43" t="s">
        <v>136</v>
      </c>
      <c r="D25" s="45" t="s">
        <v>109</v>
      </c>
      <c r="E25" s="45">
        <v>130</v>
      </c>
      <c r="F25" s="45">
        <v>65</v>
      </c>
      <c r="G25" s="45">
        <v>60</v>
      </c>
      <c r="H25" s="45">
        <v>110</v>
      </c>
      <c r="I25" s="45">
        <v>95</v>
      </c>
      <c r="J25" s="65">
        <v>65</v>
      </c>
      <c r="K25" s="73">
        <v>45577</v>
      </c>
    </row>
    <row r="26" spans="3:13" ht="18" customHeight="1" thickBot="1" x14ac:dyDescent="0.3">
      <c r="C26" s="47" t="s">
        <v>137</v>
      </c>
      <c r="D26" s="48" t="s">
        <v>130</v>
      </c>
      <c r="E26" s="48">
        <v>65</v>
      </c>
      <c r="F26" s="48">
        <v>65</v>
      </c>
      <c r="G26" s="48">
        <v>60</v>
      </c>
      <c r="H26" s="48">
        <v>110</v>
      </c>
      <c r="I26" s="48">
        <v>95</v>
      </c>
      <c r="J26" s="66">
        <v>130</v>
      </c>
      <c r="K26" s="74">
        <v>45316</v>
      </c>
      <c r="L26" s="61"/>
      <c r="M26" s="64" t="s">
        <v>143</v>
      </c>
    </row>
    <row r="27" spans="3:13" ht="15.75" thickBot="1" x14ac:dyDescent="0.3">
      <c r="L27" s="61"/>
      <c r="M27" s="63" t="s">
        <v>144</v>
      </c>
    </row>
    <row r="28" spans="3:13" x14ac:dyDescent="0.25">
      <c r="L28" s="61">
        <v>1</v>
      </c>
      <c r="M28" t="s">
        <v>140</v>
      </c>
    </row>
    <row r="29" spans="3:13" x14ac:dyDescent="0.25">
      <c r="C29" s="60" t="s">
        <v>149</v>
      </c>
      <c r="D29" s="61">
        <v>55</v>
      </c>
      <c r="E29" s="62" t="s">
        <v>154</v>
      </c>
      <c r="L29" s="5">
        <v>2</v>
      </c>
      <c r="M29" t="s">
        <v>141</v>
      </c>
    </row>
    <row r="30" spans="3:13" x14ac:dyDescent="0.25">
      <c r="C30" s="60" t="s">
        <v>150</v>
      </c>
      <c r="D30" s="61">
        <v>50</v>
      </c>
      <c r="L30" s="61">
        <v>3</v>
      </c>
      <c r="M30" t="s">
        <v>145</v>
      </c>
    </row>
    <row r="31" spans="3:13" x14ac:dyDescent="0.25">
      <c r="C31" s="60" t="s">
        <v>151</v>
      </c>
      <c r="D31" s="61">
        <v>75</v>
      </c>
      <c r="L31" s="5">
        <v>4</v>
      </c>
      <c r="M31" t="s">
        <v>146</v>
      </c>
    </row>
    <row r="32" spans="3:13" x14ac:dyDescent="0.25">
      <c r="C32" s="60" t="s">
        <v>152</v>
      </c>
      <c r="D32" s="61" t="s">
        <v>153</v>
      </c>
      <c r="L32" s="5">
        <v>6</v>
      </c>
      <c r="M32" t="s">
        <v>142</v>
      </c>
    </row>
    <row r="33" spans="3:13" x14ac:dyDescent="0.25">
      <c r="C33" s="60"/>
      <c r="L33" s="61">
        <v>7</v>
      </c>
      <c r="M33" t="s">
        <v>147</v>
      </c>
    </row>
    <row r="34" spans="3:13" ht="15.75" thickBot="1" x14ac:dyDescent="0.3">
      <c r="C34" s="59" t="s">
        <v>158</v>
      </c>
      <c r="D34" s="290" t="s">
        <v>159</v>
      </c>
      <c r="E34" s="290"/>
      <c r="L34" s="5">
        <v>8</v>
      </c>
      <c r="M34" t="s">
        <v>148</v>
      </c>
    </row>
    <row r="35" spans="3:13" x14ac:dyDescent="0.25">
      <c r="C35" s="60" t="s">
        <v>156</v>
      </c>
      <c r="D35" s="72">
        <v>45349</v>
      </c>
    </row>
    <row r="36" spans="3:13" ht="15.75" thickBot="1" x14ac:dyDescent="0.3">
      <c r="C36" s="60" t="s">
        <v>157</v>
      </c>
      <c r="D36" s="74">
        <v>45316</v>
      </c>
    </row>
    <row r="39" spans="3:13" ht="23.25" customHeight="1" thickBot="1" x14ac:dyDescent="0.3">
      <c r="C39" s="289" t="s">
        <v>161</v>
      </c>
      <c r="D39" s="289"/>
      <c r="E39" s="289"/>
      <c r="F39" s="289"/>
      <c r="G39" s="289"/>
    </row>
    <row r="40" spans="3:13" ht="25.5" customHeight="1" thickBot="1" x14ac:dyDescent="0.3">
      <c r="C40" s="91" t="s">
        <v>105</v>
      </c>
      <c r="D40" s="92" t="s">
        <v>124</v>
      </c>
      <c r="E40" s="93" t="s">
        <v>199</v>
      </c>
      <c r="F40" s="94" t="s">
        <v>198</v>
      </c>
      <c r="G40" s="94" t="s">
        <v>200</v>
      </c>
      <c r="H40" s="95" t="s">
        <v>201</v>
      </c>
    </row>
    <row r="41" spans="3:13" x14ac:dyDescent="0.25">
      <c r="C41" s="80" t="s">
        <v>167</v>
      </c>
      <c r="D41" s="81" t="s">
        <v>107</v>
      </c>
      <c r="E41" s="83">
        <v>45</v>
      </c>
      <c r="F41" s="88">
        <v>70</v>
      </c>
      <c r="G41" s="88">
        <v>20</v>
      </c>
      <c r="H41" s="87">
        <v>80</v>
      </c>
      <c r="K41" s="288" t="s">
        <v>199</v>
      </c>
      <c r="L41" s="288"/>
    </row>
    <row r="42" spans="3:13" x14ac:dyDescent="0.25">
      <c r="C42" s="75" t="s">
        <v>168</v>
      </c>
      <c r="D42" s="1" t="s">
        <v>107</v>
      </c>
      <c r="E42" s="84">
        <v>60</v>
      </c>
      <c r="F42" s="89">
        <v>42</v>
      </c>
      <c r="G42" s="89">
        <v>35</v>
      </c>
      <c r="H42" s="85">
        <v>65</v>
      </c>
      <c r="K42" s="279" t="s">
        <v>195</v>
      </c>
      <c r="L42" s="279"/>
      <c r="M42" t="s">
        <v>120</v>
      </c>
    </row>
    <row r="43" spans="3:13" x14ac:dyDescent="0.25">
      <c r="C43" s="75" t="s">
        <v>169</v>
      </c>
      <c r="D43" s="1" t="s">
        <v>107</v>
      </c>
      <c r="E43" s="84">
        <v>80</v>
      </c>
      <c r="F43" s="89">
        <v>67</v>
      </c>
      <c r="G43" s="89">
        <v>45</v>
      </c>
      <c r="H43" s="85">
        <v>89</v>
      </c>
      <c r="K43" s="279" t="s">
        <v>194</v>
      </c>
      <c r="L43" s="279"/>
      <c r="M43" t="s">
        <v>118</v>
      </c>
    </row>
    <row r="44" spans="3:13" x14ac:dyDescent="0.25">
      <c r="C44" s="75" t="s">
        <v>170</v>
      </c>
      <c r="D44" s="1" t="s">
        <v>108</v>
      </c>
      <c r="E44" s="84">
        <v>65</v>
      </c>
      <c r="F44" s="89">
        <v>50</v>
      </c>
      <c r="G44" s="89">
        <v>90</v>
      </c>
      <c r="H44" s="85">
        <v>100</v>
      </c>
    </row>
    <row r="45" spans="3:13" x14ac:dyDescent="0.25">
      <c r="C45" s="75" t="s">
        <v>171</v>
      </c>
      <c r="D45" s="1" t="s">
        <v>108</v>
      </c>
      <c r="E45" s="84">
        <v>80</v>
      </c>
      <c r="F45" s="89">
        <v>75</v>
      </c>
      <c r="G45" s="89">
        <v>105</v>
      </c>
      <c r="H45" s="85">
        <v>45</v>
      </c>
      <c r="K45" s="288" t="s">
        <v>204</v>
      </c>
      <c r="L45" s="288"/>
      <c r="M45" t="s">
        <v>203</v>
      </c>
    </row>
    <row r="46" spans="3:13" x14ac:dyDescent="0.25">
      <c r="C46" s="75" t="s">
        <v>172</v>
      </c>
      <c r="D46" s="1" t="s">
        <v>108</v>
      </c>
      <c r="E46" s="84">
        <v>100</v>
      </c>
      <c r="F46" s="89">
        <v>100</v>
      </c>
      <c r="G46" s="89">
        <v>15</v>
      </c>
      <c r="H46" s="85">
        <v>67</v>
      </c>
      <c r="M46" t="s">
        <v>205</v>
      </c>
    </row>
    <row r="47" spans="3:13" x14ac:dyDescent="0.25">
      <c r="C47" s="75" t="s">
        <v>173</v>
      </c>
      <c r="D47" s="1" t="s">
        <v>109</v>
      </c>
      <c r="E47" s="84">
        <v>43</v>
      </c>
      <c r="F47" s="89">
        <v>0</v>
      </c>
      <c r="G47" s="89">
        <v>30</v>
      </c>
      <c r="H47" s="85">
        <v>80</v>
      </c>
    </row>
    <row r="48" spans="3:13" x14ac:dyDescent="0.25">
      <c r="C48" s="75" t="s">
        <v>174</v>
      </c>
      <c r="D48" s="1" t="s">
        <v>109</v>
      </c>
      <c r="E48" s="84">
        <v>58</v>
      </c>
      <c r="F48" s="89">
        <v>-40</v>
      </c>
      <c r="G48" s="89">
        <v>57</v>
      </c>
      <c r="H48" s="85">
        <v>65</v>
      </c>
    </row>
    <row r="49" spans="3:8" x14ac:dyDescent="0.25">
      <c r="C49" s="75" t="s">
        <v>175</v>
      </c>
      <c r="D49" s="1" t="s">
        <v>109</v>
      </c>
      <c r="E49" s="84">
        <v>78</v>
      </c>
      <c r="F49" s="89">
        <v>55</v>
      </c>
      <c r="G49" s="89">
        <v>35</v>
      </c>
      <c r="H49" s="85">
        <v>80</v>
      </c>
    </row>
    <row r="50" spans="3:8" x14ac:dyDescent="0.25">
      <c r="C50" s="75" t="s">
        <v>176</v>
      </c>
      <c r="D50" s="1" t="s">
        <v>162</v>
      </c>
      <c r="E50" s="84">
        <v>45</v>
      </c>
      <c r="F50" s="89">
        <v>30</v>
      </c>
      <c r="G50" s="89">
        <v>45</v>
      </c>
      <c r="H50" s="85">
        <v>98</v>
      </c>
    </row>
    <row r="51" spans="3:8" x14ac:dyDescent="0.25">
      <c r="C51" s="75" t="s">
        <v>177</v>
      </c>
      <c r="D51" s="1" t="s">
        <v>162</v>
      </c>
      <c r="E51" s="84">
        <v>30</v>
      </c>
      <c r="F51" s="89">
        <v>45</v>
      </c>
      <c r="G51" s="89">
        <v>90</v>
      </c>
      <c r="H51" s="85">
        <v>43</v>
      </c>
    </row>
    <row r="52" spans="3:8" x14ac:dyDescent="0.25">
      <c r="C52" s="75" t="s">
        <v>178</v>
      </c>
      <c r="D52" s="1" t="s">
        <v>162</v>
      </c>
      <c r="E52" s="84">
        <v>70</v>
      </c>
      <c r="F52" s="89">
        <v>56</v>
      </c>
      <c r="G52" s="89">
        <v>100</v>
      </c>
      <c r="H52" s="85">
        <v>58</v>
      </c>
    </row>
    <row r="53" spans="3:8" x14ac:dyDescent="0.25">
      <c r="C53" s="75" t="s">
        <v>179</v>
      </c>
      <c r="D53" s="1" t="s">
        <v>162</v>
      </c>
      <c r="E53" s="84">
        <v>50</v>
      </c>
      <c r="F53" s="89">
        <v>65</v>
      </c>
      <c r="G53" s="89">
        <v>33</v>
      </c>
      <c r="H53" s="85">
        <v>-10</v>
      </c>
    </row>
    <row r="54" spans="3:8" x14ac:dyDescent="0.25">
      <c r="C54" s="75" t="s">
        <v>180</v>
      </c>
      <c r="D54" s="1" t="s">
        <v>162</v>
      </c>
      <c r="E54" s="84">
        <v>35</v>
      </c>
      <c r="F54" s="89">
        <v>85</v>
      </c>
      <c r="G54" s="89">
        <v>30</v>
      </c>
      <c r="H54" s="85">
        <v>78</v>
      </c>
    </row>
    <row r="55" spans="3:8" x14ac:dyDescent="0.25">
      <c r="C55" s="75" t="s">
        <v>181</v>
      </c>
      <c r="D55" s="1" t="s">
        <v>163</v>
      </c>
      <c r="E55" s="84">
        <v>72</v>
      </c>
      <c r="F55" s="89">
        <v>90</v>
      </c>
      <c r="G55" s="89">
        <v>-25</v>
      </c>
      <c r="H55" s="85">
        <v>38</v>
      </c>
    </row>
    <row r="56" spans="3:8" x14ac:dyDescent="0.25">
      <c r="C56" s="75" t="s">
        <v>182</v>
      </c>
      <c r="D56" s="1" t="s">
        <v>163</v>
      </c>
      <c r="E56" s="84">
        <v>97</v>
      </c>
      <c r="F56" s="89">
        <v>99</v>
      </c>
      <c r="G56" s="89">
        <v>55</v>
      </c>
      <c r="H56" s="85">
        <v>69</v>
      </c>
    </row>
    <row r="57" spans="3:8" x14ac:dyDescent="0.25">
      <c r="C57" s="75" t="s">
        <v>183</v>
      </c>
      <c r="D57" s="1" t="s">
        <v>163</v>
      </c>
      <c r="E57" s="84">
        <v>70</v>
      </c>
      <c r="F57" s="89">
        <v>35</v>
      </c>
      <c r="G57" s="89">
        <v>63</v>
      </c>
      <c r="H57" s="85">
        <v>54</v>
      </c>
    </row>
    <row r="58" spans="3:8" x14ac:dyDescent="0.25">
      <c r="C58" s="75" t="s">
        <v>184</v>
      </c>
      <c r="D58" s="1" t="s">
        <v>163</v>
      </c>
      <c r="E58" s="84">
        <v>100</v>
      </c>
      <c r="F58" s="89">
        <v>57</v>
      </c>
      <c r="G58" s="89">
        <v>87</v>
      </c>
      <c r="H58" s="85">
        <v>0</v>
      </c>
    </row>
    <row r="59" spans="3:8" ht="15.75" thickBot="1" x14ac:dyDescent="0.3">
      <c r="C59" s="75" t="s">
        <v>185</v>
      </c>
      <c r="D59" s="1" t="s">
        <v>164</v>
      </c>
      <c r="E59" s="84">
        <v>55</v>
      </c>
      <c r="F59" s="90">
        <v>23</v>
      </c>
      <c r="G59" s="90">
        <v>0</v>
      </c>
      <c r="H59" s="86">
        <v>48</v>
      </c>
    </row>
    <row r="60" spans="3:8" x14ac:dyDescent="0.25">
      <c r="C60" s="75" t="s">
        <v>186</v>
      </c>
      <c r="D60" s="1" t="s">
        <v>164</v>
      </c>
      <c r="E60" s="76">
        <v>80</v>
      </c>
    </row>
    <row r="61" spans="3:8" x14ac:dyDescent="0.25">
      <c r="C61" s="75" t="s">
        <v>187</v>
      </c>
      <c r="D61" s="1" t="s">
        <v>130</v>
      </c>
      <c r="E61" s="76">
        <v>90</v>
      </c>
    </row>
    <row r="62" spans="3:8" x14ac:dyDescent="0.25">
      <c r="C62" s="75" t="s">
        <v>188</v>
      </c>
      <c r="D62" s="1" t="s">
        <v>130</v>
      </c>
      <c r="E62" s="76">
        <v>110</v>
      </c>
    </row>
    <row r="63" spans="3:8" x14ac:dyDescent="0.25">
      <c r="C63" s="75" t="s">
        <v>189</v>
      </c>
      <c r="D63" s="1" t="s">
        <v>165</v>
      </c>
      <c r="E63" s="76">
        <v>40</v>
      </c>
    </row>
    <row r="64" spans="3:8" x14ac:dyDescent="0.25">
      <c r="C64" s="75" t="s">
        <v>190</v>
      </c>
      <c r="D64" s="1" t="s">
        <v>165</v>
      </c>
      <c r="E64" s="76">
        <v>65</v>
      </c>
    </row>
    <row r="65" spans="1:7" x14ac:dyDescent="0.25">
      <c r="C65" s="75" t="s">
        <v>191</v>
      </c>
      <c r="D65" s="1" t="s">
        <v>164</v>
      </c>
      <c r="E65" s="76">
        <v>41</v>
      </c>
    </row>
    <row r="66" spans="1:7" ht="15.75" thickBot="1" x14ac:dyDescent="0.3">
      <c r="C66" s="77" t="s">
        <v>192</v>
      </c>
      <c r="D66" s="78" t="s">
        <v>164</v>
      </c>
      <c r="E66" s="79">
        <v>56</v>
      </c>
    </row>
    <row r="67" spans="1:7" ht="15.75" thickBot="1" x14ac:dyDescent="0.3">
      <c r="C67" s="286" t="s">
        <v>196</v>
      </c>
      <c r="D67" s="287"/>
      <c r="E67" s="82">
        <f>AVERAGE(E41:E66)</f>
        <v>65.961538461538467</v>
      </c>
    </row>
    <row r="71" spans="1:7" ht="15.75" thickBot="1" x14ac:dyDescent="0.3">
      <c r="C71" t="s">
        <v>166</v>
      </c>
    </row>
    <row r="72" spans="1:7" ht="21.75" customHeight="1" thickBot="1" x14ac:dyDescent="0.3">
      <c r="A72" s="104" t="s">
        <v>237</v>
      </c>
      <c r="C72" s="91" t="s">
        <v>39</v>
      </c>
      <c r="D72" s="92" t="s">
        <v>219</v>
      </c>
      <c r="E72" s="92" t="s">
        <v>220</v>
      </c>
      <c r="F72" s="92" t="s">
        <v>221</v>
      </c>
      <c r="G72" s="103" t="s">
        <v>235</v>
      </c>
    </row>
    <row r="73" spans="1:7" x14ac:dyDescent="0.25">
      <c r="A73" s="97" t="s">
        <v>231</v>
      </c>
      <c r="C73" s="80" t="s">
        <v>222</v>
      </c>
      <c r="D73" s="81">
        <v>200</v>
      </c>
      <c r="E73" s="100">
        <f>D73*F73</f>
        <v>200</v>
      </c>
      <c r="F73" s="81">
        <v>1</v>
      </c>
      <c r="G73" s="96"/>
    </row>
    <row r="74" spans="1:7" x14ac:dyDescent="0.25">
      <c r="A74" s="98" t="s">
        <v>232</v>
      </c>
      <c r="C74" s="75" t="s">
        <v>223</v>
      </c>
      <c r="D74" s="1">
        <v>600</v>
      </c>
      <c r="E74" s="100">
        <f t="shared" ref="E74:E79" si="0">D74*F74</f>
        <v>1200</v>
      </c>
      <c r="F74" s="1">
        <v>2</v>
      </c>
      <c r="G74" s="76"/>
    </row>
    <row r="75" spans="1:7" x14ac:dyDescent="0.25">
      <c r="A75" s="98" t="s">
        <v>233</v>
      </c>
      <c r="C75" s="75" t="s">
        <v>224</v>
      </c>
      <c r="D75" s="1">
        <v>1200</v>
      </c>
      <c r="E75" s="100">
        <f t="shared" si="0"/>
        <v>4800</v>
      </c>
      <c r="F75" s="1">
        <v>4</v>
      </c>
      <c r="G75" s="76"/>
    </row>
    <row r="76" spans="1:7" ht="15.75" thickBot="1" x14ac:dyDescent="0.3">
      <c r="A76" s="99" t="s">
        <v>234</v>
      </c>
      <c r="C76" s="75" t="s">
        <v>225</v>
      </c>
      <c r="D76" s="1">
        <v>300</v>
      </c>
      <c r="E76" s="100">
        <f t="shared" si="0"/>
        <v>300</v>
      </c>
      <c r="F76" s="1">
        <v>1</v>
      </c>
      <c r="G76" s="76"/>
    </row>
    <row r="77" spans="1:7" x14ac:dyDescent="0.25">
      <c r="C77" s="75" t="s">
        <v>226</v>
      </c>
      <c r="D77" s="1">
        <v>700</v>
      </c>
      <c r="E77" s="100">
        <f t="shared" si="0"/>
        <v>700</v>
      </c>
      <c r="F77" s="1">
        <v>1</v>
      </c>
      <c r="G77" s="76"/>
    </row>
    <row r="78" spans="1:7" x14ac:dyDescent="0.25">
      <c r="C78" s="75" t="s">
        <v>227</v>
      </c>
      <c r="D78" s="1">
        <v>1200</v>
      </c>
      <c r="E78" s="100">
        <f t="shared" si="0"/>
        <v>1200</v>
      </c>
      <c r="F78" s="1">
        <v>1</v>
      </c>
      <c r="G78" s="76"/>
    </row>
    <row r="79" spans="1:7" x14ac:dyDescent="0.25">
      <c r="C79" s="75" t="s">
        <v>228</v>
      </c>
      <c r="D79" s="1">
        <v>100</v>
      </c>
      <c r="E79" s="100">
        <f t="shared" si="0"/>
        <v>100</v>
      </c>
      <c r="F79" s="1">
        <v>1</v>
      </c>
      <c r="G79" s="76"/>
    </row>
    <row r="80" spans="1:7" ht="15.75" thickBot="1" x14ac:dyDescent="0.3">
      <c r="C80" s="107"/>
      <c r="D80" s="108"/>
      <c r="E80" s="1"/>
      <c r="F80" s="1"/>
      <c r="G80" s="76"/>
    </row>
    <row r="81" spans="3:7" x14ac:dyDescent="0.25">
      <c r="C81" s="109" t="s">
        <v>229</v>
      </c>
      <c r="D81" s="110">
        <f>SUM(E73:E79)</f>
        <v>8500</v>
      </c>
      <c r="E81" s="105"/>
      <c r="F81" s="1"/>
      <c r="G81" s="76"/>
    </row>
    <row r="82" spans="3:7" x14ac:dyDescent="0.25">
      <c r="C82" s="101" t="s">
        <v>230</v>
      </c>
      <c r="D82" s="111">
        <f>(G83/100)*D81</f>
        <v>850</v>
      </c>
      <c r="E82" s="105"/>
      <c r="F82" s="1"/>
      <c r="G82" s="76"/>
    </row>
    <row r="83" spans="3:7" x14ac:dyDescent="0.25">
      <c r="C83" s="75"/>
      <c r="D83" s="76"/>
      <c r="E83" s="105"/>
      <c r="F83" s="1" t="s">
        <v>230</v>
      </c>
      <c r="G83" s="76">
        <v>10</v>
      </c>
    </row>
    <row r="84" spans="3:7" ht="15.75" thickBot="1" x14ac:dyDescent="0.3">
      <c r="C84" s="102" t="s">
        <v>34</v>
      </c>
      <c r="D84" s="112">
        <f>SUM(D81-D82)</f>
        <v>7650</v>
      </c>
      <c r="E84" s="106"/>
      <c r="F84" s="78"/>
      <c r="G84" s="79"/>
    </row>
  </sheetData>
  <mergeCells count="9">
    <mergeCell ref="C1:G1"/>
    <mergeCell ref="C18:G18"/>
    <mergeCell ref="D34:E34"/>
    <mergeCell ref="C39:G39"/>
    <mergeCell ref="C67:D67"/>
    <mergeCell ref="K41:L41"/>
    <mergeCell ref="K42:L42"/>
    <mergeCell ref="K43:L43"/>
    <mergeCell ref="K45:L45"/>
  </mergeCells>
  <conditionalFormatting sqref="F3:F8">
    <cfRule type="colorScale" priority="40">
      <colorScale>
        <cfvo type="min"/>
        <cfvo type="percentile" val="50"/>
        <cfvo type="max"/>
        <color rgb="FFF8696B"/>
        <color rgb="FFFFEB84"/>
        <color rgb="FF63BE7B"/>
      </colorScale>
    </cfRule>
  </conditionalFormatting>
  <conditionalFormatting sqref="M19">
    <cfRule type="containsText" dxfId="24" priority="39" operator="containsText" text="Light Red Fill with Dark Red Text">
      <formula>NOT(ISERROR(SEARCH("Light Red Fill with Dark Red Text",M19)))</formula>
    </cfRule>
  </conditionalFormatting>
  <conditionalFormatting sqref="M20">
    <cfRule type="containsText" dxfId="23" priority="38" operator="containsText" text="Yellow Fill with Dark Yellow Text">
      <formula>NOT(ISERROR(SEARCH("Yellow Fill with Dark Yellow Text",M20)))</formula>
    </cfRule>
  </conditionalFormatting>
  <conditionalFormatting sqref="M21">
    <cfRule type="containsText" dxfId="22" priority="37" operator="containsText" text="Green Fill with Dark Green Text">
      <formula>NOT(ISERROR(SEARCH("Green Fill with Dark Green Text",M21)))</formula>
    </cfRule>
  </conditionalFormatting>
  <conditionalFormatting sqref="M22">
    <cfRule type="containsText" dxfId="21" priority="36" operator="containsText" text="Light Red Fill">
      <formula>NOT(ISERROR(SEARCH("Light Red Fill",M22)))</formula>
    </cfRule>
  </conditionalFormatting>
  <conditionalFormatting sqref="M23">
    <cfRule type="containsText" dxfId="20" priority="35" operator="containsText" text="Red Text">
      <formula>NOT(ISERROR(SEARCH("Red Text",M23)))</formula>
    </cfRule>
  </conditionalFormatting>
  <conditionalFormatting sqref="M24">
    <cfRule type="containsText" dxfId="19" priority="34" operator="containsText" text="Red Border">
      <formula>NOT(ISERROR(SEARCH("Red Border",M24)))</formula>
    </cfRule>
  </conditionalFormatting>
  <conditionalFormatting sqref="E20:J26">
    <cfRule type="cellIs" dxfId="18" priority="1" operator="between">
      <formula>60</formula>
      <formula>75</formula>
    </cfRule>
    <cfRule type="cellIs" dxfId="17" priority="23" operator="greaterThan">
      <formula>75</formula>
    </cfRule>
    <cfRule type="cellIs" dxfId="16" priority="24" operator="lessThan">
      <formula>51</formula>
    </cfRule>
    <cfRule type="cellIs" dxfId="15" priority="25" operator="equal">
      <formula>55</formula>
    </cfRule>
  </conditionalFormatting>
  <conditionalFormatting sqref="D20:D26">
    <cfRule type="cellIs" dxfId="14" priority="20" operator="equal">
      <formula>"water"</formula>
    </cfRule>
  </conditionalFormatting>
  <conditionalFormatting sqref="D29">
    <cfRule type="containsText" dxfId="13" priority="19" operator="containsText" text="55">
      <formula>NOT(ISERROR(SEARCH("55",D29)))</formula>
    </cfRule>
  </conditionalFormatting>
  <conditionalFormatting sqref="D30">
    <cfRule type="containsText" dxfId="12" priority="18" operator="containsText" text="50">
      <formula>NOT(ISERROR(SEARCH("50",D30)))</formula>
    </cfRule>
  </conditionalFormatting>
  <conditionalFormatting sqref="D31">
    <cfRule type="containsText" dxfId="11" priority="17" operator="containsText" text="75">
      <formula>NOT(ISERROR(SEARCH("75",D31)))</formula>
    </cfRule>
  </conditionalFormatting>
  <conditionalFormatting sqref="D32">
    <cfRule type="containsText" dxfId="10" priority="16" operator="containsText" text="60-75">
      <formula>NOT(ISERROR(SEARCH("60-75",D32)))</formula>
    </cfRule>
  </conditionalFormatting>
  <conditionalFormatting sqref="K20:K26">
    <cfRule type="timePeriod" dxfId="9" priority="14" timePeriod="nextMonth">
      <formula>AND(MONTH(K20)=MONTH(EDATE(TODAY(),0+1)),YEAR(K20)=YEAR(EDATE(TODAY(),0+1)))</formula>
    </cfRule>
    <cfRule type="timePeriod" dxfId="8" priority="15" timePeriod="lastWeek">
      <formula>AND(TODAY()-ROUNDDOWN(K20,0)&gt;=(WEEKDAY(TODAY())),TODAY()-ROUNDDOWN(K20,0)&lt;(WEEKDAY(TODAY())+7))</formula>
    </cfRule>
  </conditionalFormatting>
  <conditionalFormatting sqref="D35">
    <cfRule type="timePeriod" dxfId="7" priority="12" timePeriod="nextMonth">
      <formula>AND(MONTH(D35)=MONTH(EDATE(TODAY(),0+1)),YEAR(D35)=YEAR(EDATE(TODAY(),0+1)))</formula>
    </cfRule>
    <cfRule type="timePeriod" dxfId="6" priority="13" timePeriod="lastWeek">
      <formula>AND(TODAY()-ROUNDDOWN(D35,0)&gt;=(WEEKDAY(TODAY())),TODAY()-ROUNDDOWN(D35,0)&lt;(WEEKDAY(TODAY())+7))</formula>
    </cfRule>
  </conditionalFormatting>
  <conditionalFormatting sqref="D36">
    <cfRule type="timePeriod" dxfId="5" priority="10" timePeriod="nextMonth">
      <formula>AND(MONTH(D36)=MONTH(EDATE(TODAY(),0+1)),YEAR(D36)=YEAR(EDATE(TODAY(),0+1)))</formula>
    </cfRule>
    <cfRule type="timePeriod" dxfId="4" priority="11" timePeriod="lastWeek">
      <formula>AND(TODAY()-ROUNDDOWN(D36,0)&gt;=(WEEKDAY(TODAY())),TODAY()-ROUNDDOWN(D36,0)&lt;(WEEKDAY(TODAY())+7))</formula>
    </cfRule>
  </conditionalFormatting>
  <conditionalFormatting sqref="E41:E66">
    <cfRule type="aboveAverage" dxfId="3" priority="7" aboveAverage="0"/>
    <cfRule type="aboveAverage" dxfId="2" priority="9"/>
  </conditionalFormatting>
  <conditionalFormatting sqref="M42">
    <cfRule type="containsText" dxfId="1" priority="8" operator="containsText" text="Green Fill with Dark Green Text">
      <formula>NOT(ISERROR(SEARCH("Green Fill with Dark Green Text",M42)))</formula>
    </cfRule>
  </conditionalFormatting>
  <conditionalFormatting sqref="M43">
    <cfRule type="containsText" dxfId="0" priority="6" operator="containsText" text="Light Red Fill with Dark Red Text">
      <formula>NOT(ISERROR(SEARCH("Light Red Fill with Dark Red Text",M43)))</formula>
    </cfRule>
  </conditionalFormatting>
  <conditionalFormatting sqref="F41:F59">
    <cfRule type="dataBar" priority="5">
      <dataBar>
        <cfvo type="min"/>
        <cfvo type="max"/>
        <color rgb="FF008AEF"/>
      </dataBar>
      <extLst>
        <ext xmlns:x14="http://schemas.microsoft.com/office/spreadsheetml/2009/9/main" uri="{B025F937-C7B1-47D3-B67F-A62EFF666E3E}">
          <x14:id>{6533F37F-B052-40BF-A693-6E0899409744}</x14:id>
        </ext>
      </extLst>
    </cfRule>
  </conditionalFormatting>
  <conditionalFormatting sqref="G41:G59">
    <cfRule type="colorScale" priority="4">
      <colorScale>
        <cfvo type="min"/>
        <cfvo type="percentile" val="50"/>
        <cfvo type="max"/>
        <color rgb="FFF8696B"/>
        <color rgb="FFFCFCFF"/>
        <color rgb="FF63BE7B"/>
      </colorScale>
    </cfRule>
  </conditionalFormatting>
  <conditionalFormatting sqref="H41:H59">
    <cfRule type="iconSet" priority="2">
      <iconSet>
        <cfvo type="percent" val="0"/>
        <cfvo type="percent" val="33"/>
        <cfvo type="percent" val="67"/>
      </iconSet>
    </cfRule>
  </conditionalFormatting>
  <pageMargins left="0.7" right="0.7" top="0.75" bottom="0.75" header="0.3" footer="0.3"/>
  <pageSetup orientation="portrait" horizontalDpi="90" verticalDpi="90" r:id="rId1"/>
  <drawing r:id="rId2"/>
  <extLst>
    <ext xmlns:x14="http://schemas.microsoft.com/office/spreadsheetml/2009/9/main" uri="{78C0D931-6437-407d-A8EE-F0AAD7539E65}">
      <x14:conditionalFormattings>
        <x14:conditionalFormatting xmlns:xm="http://schemas.microsoft.com/office/excel/2006/main">
          <x14:cfRule type="dataBar" id="{6533F37F-B052-40BF-A693-6E0899409744}">
            <x14:dataBar minLength="0" maxLength="100" border="1" negativeBarBorderColorSameAsPositive="0">
              <x14:cfvo type="autoMin"/>
              <x14:cfvo type="autoMax"/>
              <x14:borderColor rgb="FF008AEF"/>
              <x14:negativeFillColor rgb="FFFF0000"/>
              <x14:negativeBorderColor rgb="FFFF0000"/>
              <x14:axisColor rgb="FF000000"/>
            </x14:dataBar>
          </x14:cfRule>
          <xm:sqref>F41:F59</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A7CAC2-8A10-49D5-AA43-FEB326CE549C}">
  <sheetPr>
    <tabColor rgb="FF7030A0"/>
  </sheetPr>
  <dimension ref="A1:O118"/>
  <sheetViews>
    <sheetView topLeftCell="A100" zoomScale="115" zoomScaleNormal="115" workbookViewId="0">
      <selection activeCell="D113" sqref="D113"/>
    </sheetView>
  </sheetViews>
  <sheetFormatPr defaultRowHeight="15" x14ac:dyDescent="0.25"/>
  <cols>
    <col min="1" max="1" width="14.5703125" bestFit="1" customWidth="1"/>
    <col min="2" max="2" width="13" customWidth="1"/>
    <col min="3" max="3" width="16.85546875" customWidth="1"/>
    <col min="4" max="4" width="38.5703125" bestFit="1" customWidth="1"/>
    <col min="5" max="5" width="44.140625" customWidth="1"/>
    <col min="6" max="6" width="27.28515625" customWidth="1"/>
    <col min="7" max="7" width="13.85546875" customWidth="1"/>
    <col min="8" max="8" width="8.7109375" bestFit="1" customWidth="1"/>
    <col min="9" max="9" width="8.5703125" customWidth="1"/>
    <col min="10" max="10" width="7.7109375" customWidth="1"/>
    <col min="11" max="11" width="12.7109375" bestFit="1" customWidth="1"/>
    <col min="12" max="12" width="36.28515625" bestFit="1" customWidth="1"/>
    <col min="13" max="13" width="29" customWidth="1"/>
  </cols>
  <sheetData>
    <row r="1" spans="1:12" ht="20.25" customHeight="1" thickBot="1" x14ac:dyDescent="0.3">
      <c r="A1" s="300" t="s">
        <v>257</v>
      </c>
      <c r="B1" s="301"/>
      <c r="C1" s="302"/>
      <c r="D1" s="118" t="s">
        <v>253</v>
      </c>
      <c r="E1" s="118" t="s">
        <v>255</v>
      </c>
      <c r="F1" s="135" t="s">
        <v>384</v>
      </c>
      <c r="L1" s="135" t="s">
        <v>261</v>
      </c>
    </row>
    <row r="2" spans="1:12" ht="15.75" thickBot="1" x14ac:dyDescent="0.3">
      <c r="D2" s="120" t="s">
        <v>254</v>
      </c>
      <c r="E2" s="223" t="s">
        <v>256</v>
      </c>
      <c r="F2" s="235" t="s">
        <v>386</v>
      </c>
      <c r="L2" s="136" t="s">
        <v>271</v>
      </c>
    </row>
    <row r="3" spans="1:12" ht="15.75" thickBot="1" x14ac:dyDescent="0.3">
      <c r="A3" s="54" t="s">
        <v>238</v>
      </c>
      <c r="B3" s="115" t="s">
        <v>249</v>
      </c>
      <c r="C3" s="119" t="s">
        <v>110</v>
      </c>
      <c r="D3" s="121" t="s">
        <v>239</v>
      </c>
      <c r="E3" s="224" t="s">
        <v>252</v>
      </c>
      <c r="F3" s="234" t="s">
        <v>387</v>
      </c>
      <c r="G3" s="228" t="s">
        <v>262</v>
      </c>
      <c r="H3" s="92" t="s">
        <v>222</v>
      </c>
      <c r="I3" s="92" t="s">
        <v>263</v>
      </c>
      <c r="J3" s="92" t="s">
        <v>382</v>
      </c>
      <c r="K3" s="103" t="s">
        <v>264</v>
      </c>
      <c r="L3" s="137" t="s">
        <v>273</v>
      </c>
    </row>
    <row r="4" spans="1:12" x14ac:dyDescent="0.25">
      <c r="A4" s="116" t="s">
        <v>240</v>
      </c>
      <c r="B4" s="58" t="s">
        <v>107</v>
      </c>
      <c r="C4" s="71">
        <v>45</v>
      </c>
      <c r="D4" s="122" t="b">
        <f>AND(B4="Fire",C4&gt;70)</f>
        <v>0</v>
      </c>
      <c r="E4" s="225" t="b">
        <f>OR(B4="Fire",C4&gt;70)</f>
        <v>0</v>
      </c>
      <c r="F4" s="236" t="b">
        <f>_xlfn.XOR(B4="Fire",C4&lt;=60)</f>
        <v>1</v>
      </c>
      <c r="G4" s="229" t="s">
        <v>265</v>
      </c>
      <c r="H4" s="141">
        <v>10</v>
      </c>
      <c r="I4" s="141">
        <v>4</v>
      </c>
      <c r="J4" s="141">
        <v>1</v>
      </c>
      <c r="K4" s="142">
        <v>1</v>
      </c>
      <c r="L4" s="143">
        <f>AVERAGE(H4:K4)</f>
        <v>4</v>
      </c>
    </row>
    <row r="5" spans="1:12" x14ac:dyDescent="0.25">
      <c r="A5" s="113" t="s">
        <v>241</v>
      </c>
      <c r="B5" s="45" t="s">
        <v>107</v>
      </c>
      <c r="C5" s="65">
        <v>60</v>
      </c>
      <c r="D5" s="123" t="b">
        <f t="shared" ref="D5:D12" si="0">AND(B5="Fire",C5&gt;70)</f>
        <v>0</v>
      </c>
      <c r="E5" s="226" t="b">
        <f t="shared" ref="E5:E12" si="1">OR(B5="Fire",C5&gt;70)</f>
        <v>0</v>
      </c>
      <c r="F5" s="237" t="b">
        <f t="shared" ref="F5:F12" si="2">_xlfn.XOR(B5="Fire",C5&lt;=60)</f>
        <v>1</v>
      </c>
      <c r="G5" s="230" t="s">
        <v>266</v>
      </c>
      <c r="H5" s="139">
        <v>12</v>
      </c>
      <c r="I5" s="139">
        <v>3</v>
      </c>
      <c r="J5" s="139">
        <v>4</v>
      </c>
      <c r="K5" s="140">
        <v>1</v>
      </c>
      <c r="L5" s="138">
        <f t="shared" ref="L5:L9" si="3">AVERAGE(H5:K5)</f>
        <v>5</v>
      </c>
    </row>
    <row r="6" spans="1:12" x14ac:dyDescent="0.25">
      <c r="A6" s="113" t="s">
        <v>242</v>
      </c>
      <c r="B6" s="45" t="s">
        <v>107</v>
      </c>
      <c r="C6" s="65">
        <v>80</v>
      </c>
      <c r="D6" s="123" t="b">
        <f t="shared" si="0"/>
        <v>0</v>
      </c>
      <c r="E6" s="226" t="b">
        <f t="shared" si="1"/>
        <v>1</v>
      </c>
      <c r="F6" s="237" t="b">
        <f t="shared" si="2"/>
        <v>0</v>
      </c>
      <c r="G6" s="230" t="s">
        <v>267</v>
      </c>
      <c r="H6" s="139">
        <v>15</v>
      </c>
      <c r="I6" s="139" t="s">
        <v>272</v>
      </c>
      <c r="J6" s="139">
        <v>2</v>
      </c>
      <c r="K6" s="140">
        <v>1</v>
      </c>
      <c r="L6" s="138">
        <f t="shared" si="3"/>
        <v>6</v>
      </c>
    </row>
    <row r="7" spans="1:12" x14ac:dyDescent="0.25">
      <c r="A7" s="113" t="s">
        <v>243</v>
      </c>
      <c r="B7" s="45" t="s">
        <v>108</v>
      </c>
      <c r="C7" s="65">
        <v>55</v>
      </c>
      <c r="D7" s="123" t="b">
        <f t="shared" si="0"/>
        <v>0</v>
      </c>
      <c r="E7" s="226" t="b">
        <f t="shared" si="1"/>
        <v>1</v>
      </c>
      <c r="F7" s="237" t="b">
        <f t="shared" si="2"/>
        <v>0</v>
      </c>
      <c r="G7" s="230" t="s">
        <v>268</v>
      </c>
      <c r="H7" s="139">
        <v>4</v>
      </c>
      <c r="I7" s="139">
        <v>2</v>
      </c>
      <c r="J7" s="139">
        <v>6</v>
      </c>
      <c r="K7" s="140">
        <v>0</v>
      </c>
      <c r="L7" s="138">
        <f t="shared" si="3"/>
        <v>3</v>
      </c>
    </row>
    <row r="8" spans="1:12" x14ac:dyDescent="0.25">
      <c r="A8" s="113" t="s">
        <v>244</v>
      </c>
      <c r="B8" s="45" t="s">
        <v>108</v>
      </c>
      <c r="C8" s="65">
        <v>80</v>
      </c>
      <c r="D8" s="123" t="b">
        <f t="shared" si="0"/>
        <v>1</v>
      </c>
      <c r="E8" s="226" t="b">
        <f t="shared" si="1"/>
        <v>1</v>
      </c>
      <c r="F8" s="237" t="b">
        <f t="shared" si="2"/>
        <v>1</v>
      </c>
      <c r="G8" s="230" t="s">
        <v>269</v>
      </c>
      <c r="H8" s="139">
        <v>10</v>
      </c>
      <c r="I8" s="139">
        <v>4</v>
      </c>
      <c r="J8" s="139">
        <v>1</v>
      </c>
      <c r="K8" s="140">
        <v>1</v>
      </c>
      <c r="L8" s="138">
        <f t="shared" si="3"/>
        <v>4</v>
      </c>
    </row>
    <row r="9" spans="1:12" ht="15.75" thickBot="1" x14ac:dyDescent="0.3">
      <c r="A9" s="113" t="s">
        <v>245</v>
      </c>
      <c r="B9" s="45" t="s">
        <v>108</v>
      </c>
      <c r="C9" s="65">
        <v>100</v>
      </c>
      <c r="D9" s="123" t="b">
        <f t="shared" si="0"/>
        <v>1</v>
      </c>
      <c r="E9" s="226" t="b">
        <f t="shared" si="1"/>
        <v>1</v>
      </c>
      <c r="F9" s="237" t="b">
        <f>_xlfn.XOR(B9="Fire",C9&lt;=60)</f>
        <v>1</v>
      </c>
      <c r="G9" s="231" t="s">
        <v>270</v>
      </c>
      <c r="H9" s="145">
        <v>9</v>
      </c>
      <c r="I9" s="145">
        <v>2</v>
      </c>
      <c r="J9" s="144">
        <v>1</v>
      </c>
      <c r="K9" s="149">
        <v>0</v>
      </c>
      <c r="L9" s="148">
        <f t="shared" si="3"/>
        <v>3</v>
      </c>
    </row>
    <row r="10" spans="1:12" ht="15.75" thickBot="1" x14ac:dyDescent="0.3">
      <c r="A10" s="113" t="s">
        <v>246</v>
      </c>
      <c r="B10" s="45" t="s">
        <v>109</v>
      </c>
      <c r="C10" s="65">
        <v>43</v>
      </c>
      <c r="D10" s="123" t="b">
        <f t="shared" si="0"/>
        <v>0</v>
      </c>
      <c r="E10" s="226" t="b">
        <f t="shared" si="1"/>
        <v>0</v>
      </c>
      <c r="F10" s="237" t="b">
        <f t="shared" si="2"/>
        <v>1</v>
      </c>
      <c r="G10" s="232" t="s">
        <v>238</v>
      </c>
      <c r="H10" s="146" t="s">
        <v>124</v>
      </c>
      <c r="I10" s="147" t="s">
        <v>110</v>
      </c>
      <c r="K10" s="150"/>
      <c r="L10" s="152" t="s">
        <v>274</v>
      </c>
    </row>
    <row r="11" spans="1:12" ht="15.75" thickBot="1" x14ac:dyDescent="0.3">
      <c r="A11" s="113" t="s">
        <v>247</v>
      </c>
      <c r="B11" s="45" t="s">
        <v>109</v>
      </c>
      <c r="C11" s="65">
        <v>70</v>
      </c>
      <c r="D11" s="123" t="b">
        <f t="shared" si="0"/>
        <v>0</v>
      </c>
      <c r="E11" s="226" t="b">
        <f t="shared" si="1"/>
        <v>0</v>
      </c>
      <c r="F11" s="237" t="b">
        <f t="shared" si="2"/>
        <v>0</v>
      </c>
      <c r="G11" s="233" t="s">
        <v>240</v>
      </c>
      <c r="H11" s="81" t="s">
        <v>107</v>
      </c>
      <c r="I11" s="211">
        <v>45</v>
      </c>
      <c r="K11" s="150" t="s">
        <v>275</v>
      </c>
      <c r="L11" s="153" t="s">
        <v>276</v>
      </c>
    </row>
    <row r="12" spans="1:12" ht="15.75" thickBot="1" x14ac:dyDescent="0.3">
      <c r="A12" s="114" t="s">
        <v>248</v>
      </c>
      <c r="B12" s="48" t="s">
        <v>109</v>
      </c>
      <c r="C12" s="66">
        <v>78</v>
      </c>
      <c r="D12" s="124" t="b">
        <f t="shared" si="0"/>
        <v>0</v>
      </c>
      <c r="E12" s="227" t="b">
        <f t="shared" si="1"/>
        <v>1</v>
      </c>
      <c r="F12" s="238" t="b">
        <f t="shared" si="2"/>
        <v>0</v>
      </c>
      <c r="G12" s="105" t="s">
        <v>241</v>
      </c>
      <c r="H12" s="1" t="s">
        <v>107</v>
      </c>
      <c r="I12" s="140">
        <v>60</v>
      </c>
      <c r="K12" s="151" t="s">
        <v>107</v>
      </c>
      <c r="L12" s="154">
        <f>AVERAGEIF(H$11:H$19, K12, I$11:I$19)</f>
        <v>61.666666666666664</v>
      </c>
    </row>
    <row r="13" spans="1:12" x14ac:dyDescent="0.25">
      <c r="A13" t="s">
        <v>166</v>
      </c>
      <c r="G13" s="75" t="s">
        <v>242</v>
      </c>
      <c r="H13" s="1" t="s">
        <v>107</v>
      </c>
      <c r="I13" s="140">
        <v>80</v>
      </c>
      <c r="K13" s="75" t="s">
        <v>108</v>
      </c>
      <c r="L13" s="154">
        <f t="shared" ref="L13:L14" si="4">AVERAGEIF(H$11:H$19, K13, I$11:I$19)</f>
        <v>81.666666666666671</v>
      </c>
    </row>
    <row r="14" spans="1:12" ht="15.75" thickBot="1" x14ac:dyDescent="0.3">
      <c r="G14" s="75" t="s">
        <v>243</v>
      </c>
      <c r="H14" s="1" t="s">
        <v>108</v>
      </c>
      <c r="I14" s="140">
        <v>65</v>
      </c>
      <c r="K14" s="77" t="s">
        <v>109</v>
      </c>
      <c r="L14" s="155">
        <f t="shared" si="4"/>
        <v>59.666666666666664</v>
      </c>
    </row>
    <row r="15" spans="1:12" ht="18.75" customHeight="1" thickBot="1" x14ac:dyDescent="0.3">
      <c r="A15" s="303" t="s">
        <v>259</v>
      </c>
      <c r="B15" s="303"/>
      <c r="C15" s="303"/>
      <c r="D15" s="303"/>
      <c r="E15" s="303"/>
      <c r="F15" s="303"/>
      <c r="G15" s="75" t="s">
        <v>244</v>
      </c>
      <c r="H15" s="1" t="s">
        <v>108</v>
      </c>
      <c r="I15" s="140">
        <v>80</v>
      </c>
    </row>
    <row r="16" spans="1:12" ht="20.25" customHeight="1" thickBot="1" x14ac:dyDescent="0.3">
      <c r="A16" s="125"/>
      <c r="B16" s="126"/>
      <c r="C16" s="126"/>
      <c r="D16" s="127" t="s">
        <v>258</v>
      </c>
      <c r="E16" s="159" t="s">
        <v>260</v>
      </c>
      <c r="G16" s="75" t="s">
        <v>245</v>
      </c>
      <c r="H16" s="1" t="s">
        <v>108</v>
      </c>
      <c r="I16" s="140">
        <v>100</v>
      </c>
    </row>
    <row r="17" spans="1:15" ht="15.75" thickBot="1" x14ac:dyDescent="0.3">
      <c r="A17" s="54" t="s">
        <v>238</v>
      </c>
      <c r="B17" s="115" t="s">
        <v>249</v>
      </c>
      <c r="C17" s="115" t="s">
        <v>110</v>
      </c>
      <c r="D17" s="117" t="s">
        <v>239</v>
      </c>
      <c r="E17" s="118" t="s">
        <v>252</v>
      </c>
      <c r="G17" s="75" t="s">
        <v>246</v>
      </c>
      <c r="H17" s="1" t="s">
        <v>109</v>
      </c>
      <c r="I17" s="140">
        <v>43</v>
      </c>
    </row>
    <row r="18" spans="1:15" x14ac:dyDescent="0.25">
      <c r="A18" s="130" t="s">
        <v>240</v>
      </c>
      <c r="B18" s="52" t="s">
        <v>107</v>
      </c>
      <c r="C18" s="52">
        <v>70</v>
      </c>
      <c r="D18" s="131" t="str">
        <f t="shared" ref="D18:D26" si="5">IF(AND(B18="Fire",C18&gt;=70),"Yes","No")</f>
        <v>No</v>
      </c>
      <c r="E18" s="132" t="str">
        <f>IF(OR(B18="Fire",C18&gt;=70),"Yes","No")</f>
        <v>Yes</v>
      </c>
      <c r="G18" s="75" t="s">
        <v>247</v>
      </c>
      <c r="H18" s="1" t="s">
        <v>109</v>
      </c>
      <c r="I18" s="140">
        <v>58</v>
      </c>
    </row>
    <row r="19" spans="1:15" ht="15.75" thickBot="1" x14ac:dyDescent="0.3">
      <c r="A19" s="113" t="s">
        <v>241</v>
      </c>
      <c r="B19" s="45" t="s">
        <v>107</v>
      </c>
      <c r="C19" s="45">
        <v>60</v>
      </c>
      <c r="D19" s="128" t="str">
        <f t="shared" si="5"/>
        <v>No</v>
      </c>
      <c r="E19" s="133" t="str">
        <f t="shared" ref="E19:E26" si="6">IF(OR(B19="Fire",C19&gt;=70),"Yes","No")</f>
        <v>No</v>
      </c>
      <c r="G19" s="77" t="s">
        <v>248</v>
      </c>
      <c r="H19" s="78" t="s">
        <v>109</v>
      </c>
      <c r="I19" s="210">
        <v>78</v>
      </c>
    </row>
    <row r="20" spans="1:15" x14ac:dyDescent="0.25">
      <c r="A20" s="113" t="s">
        <v>242</v>
      </c>
      <c r="B20" s="45" t="s">
        <v>107</v>
      </c>
      <c r="C20" s="45">
        <v>80</v>
      </c>
      <c r="D20" s="128" t="str">
        <f t="shared" si="5"/>
        <v>No</v>
      </c>
      <c r="E20" s="133" t="str">
        <f t="shared" si="6"/>
        <v>Yes</v>
      </c>
      <c r="G20" t="s">
        <v>166</v>
      </c>
    </row>
    <row r="21" spans="1:15" x14ac:dyDescent="0.25">
      <c r="A21" s="113" t="s">
        <v>243</v>
      </c>
      <c r="B21" s="45" t="s">
        <v>108</v>
      </c>
      <c r="C21" s="45">
        <v>65</v>
      </c>
      <c r="D21" s="128" t="str">
        <f t="shared" si="5"/>
        <v>No</v>
      </c>
      <c r="E21" s="133" t="str">
        <f t="shared" si="6"/>
        <v>Yes</v>
      </c>
    </row>
    <row r="22" spans="1:15" x14ac:dyDescent="0.25">
      <c r="A22" s="113" t="s">
        <v>244</v>
      </c>
      <c r="B22" s="45" t="s">
        <v>108</v>
      </c>
      <c r="C22" s="45">
        <v>80</v>
      </c>
      <c r="D22" s="128" t="str">
        <f t="shared" si="5"/>
        <v>Yes</v>
      </c>
      <c r="E22" s="133" t="str">
        <f t="shared" si="6"/>
        <v>Yes</v>
      </c>
    </row>
    <row r="23" spans="1:15" x14ac:dyDescent="0.25">
      <c r="A23" s="113" t="s">
        <v>245</v>
      </c>
      <c r="B23" s="45" t="s">
        <v>108</v>
      </c>
      <c r="C23" s="45">
        <v>100</v>
      </c>
      <c r="D23" s="128" t="str">
        <f t="shared" si="5"/>
        <v>Yes</v>
      </c>
      <c r="E23" s="133" t="str">
        <f t="shared" si="6"/>
        <v>Yes</v>
      </c>
    </row>
    <row r="24" spans="1:15" x14ac:dyDescent="0.25">
      <c r="A24" s="113" t="s">
        <v>246</v>
      </c>
      <c r="B24" s="45" t="s">
        <v>109</v>
      </c>
      <c r="C24" s="45">
        <v>43</v>
      </c>
      <c r="D24" s="128" t="str">
        <f t="shared" si="5"/>
        <v>No</v>
      </c>
      <c r="E24" s="133" t="str">
        <f t="shared" si="6"/>
        <v>No</v>
      </c>
    </row>
    <row r="25" spans="1:15" x14ac:dyDescent="0.25">
      <c r="A25" s="113" t="s">
        <v>247</v>
      </c>
      <c r="B25" s="45" t="s">
        <v>108</v>
      </c>
      <c r="C25" s="45">
        <v>70</v>
      </c>
      <c r="D25" s="128" t="str">
        <f t="shared" si="5"/>
        <v>Yes</v>
      </c>
      <c r="E25" s="133" t="str">
        <f t="shared" si="6"/>
        <v>Yes</v>
      </c>
    </row>
    <row r="26" spans="1:15" ht="15.75" thickBot="1" x14ac:dyDescent="0.3">
      <c r="A26" s="114" t="s">
        <v>248</v>
      </c>
      <c r="B26" s="48" t="s">
        <v>109</v>
      </c>
      <c r="C26" s="48">
        <v>78</v>
      </c>
      <c r="D26" s="129" t="str">
        <f t="shared" si="5"/>
        <v>No</v>
      </c>
      <c r="E26" s="134" t="str">
        <f t="shared" si="6"/>
        <v>Yes</v>
      </c>
    </row>
    <row r="29" spans="1:15" ht="15.75" thickBot="1" x14ac:dyDescent="0.3">
      <c r="D29" s="10"/>
    </row>
    <row r="30" spans="1:15" ht="15.75" thickBot="1" x14ac:dyDescent="0.3">
      <c r="A30" s="156" t="s">
        <v>238</v>
      </c>
      <c r="B30" s="157" t="s">
        <v>124</v>
      </c>
      <c r="C30" s="157" t="s">
        <v>277</v>
      </c>
      <c r="D30" s="158"/>
      <c r="E30" s="311" t="s">
        <v>330</v>
      </c>
      <c r="F30" s="312"/>
      <c r="G30" s="312"/>
      <c r="H30" s="312"/>
      <c r="I30" s="312"/>
      <c r="J30" s="312"/>
      <c r="K30" s="312"/>
      <c r="L30" s="312"/>
      <c r="M30" s="312"/>
      <c r="N30" s="312"/>
      <c r="O30" s="313"/>
    </row>
    <row r="31" spans="1:15" ht="15.75" thickBot="1" x14ac:dyDescent="0.3">
      <c r="A31" s="167" t="s">
        <v>297</v>
      </c>
      <c r="B31" s="27" t="s">
        <v>108</v>
      </c>
      <c r="C31" s="27">
        <v>305</v>
      </c>
      <c r="D31" s="28" t="str">
        <f>_xlfn.CONCAT(A31,", ",B31)</f>
        <v>Mankey, Fire</v>
      </c>
      <c r="E31" s="304" t="s">
        <v>329</v>
      </c>
      <c r="F31" s="305"/>
      <c r="G31" s="305"/>
      <c r="H31" s="305"/>
      <c r="I31" s="305"/>
      <c r="J31" s="305"/>
      <c r="K31" s="305"/>
      <c r="L31" s="305"/>
      <c r="M31" s="305"/>
      <c r="N31" s="305"/>
      <c r="O31" s="306"/>
    </row>
    <row r="32" spans="1:15" x14ac:dyDescent="0.25">
      <c r="A32" s="160" t="s">
        <v>278</v>
      </c>
      <c r="B32" t="s">
        <v>109</v>
      </c>
      <c r="C32">
        <v>510</v>
      </c>
      <c r="D32" s="161" t="str">
        <f t="shared" ref="D32:D50" si="7">_xlfn.CONCAT(A32,", ",B32)</f>
        <v xml:space="preserve">    Poliwrath, Water</v>
      </c>
      <c r="E32" s="167" t="str">
        <f>_xlfn.CONCAT(TRIM(A31),", ",TRIM(A32))</f>
        <v>Mankey, Poliwrath</v>
      </c>
      <c r="F32" s="27"/>
      <c r="G32" s="27"/>
      <c r="H32" s="27"/>
      <c r="I32" s="27"/>
      <c r="J32" s="27"/>
      <c r="K32" s="27"/>
      <c r="L32" s="27"/>
      <c r="M32" s="27"/>
      <c r="N32" s="27"/>
      <c r="O32" s="28"/>
    </row>
    <row r="33" spans="1:15" x14ac:dyDescent="0.25">
      <c r="A33" s="160" t="s">
        <v>279</v>
      </c>
      <c r="B33" t="s">
        <v>107</v>
      </c>
      <c r="C33">
        <v>490</v>
      </c>
      <c r="D33" s="161" t="str">
        <f t="shared" si="7"/>
        <v xml:space="preserve">    Victreebel, Grass</v>
      </c>
      <c r="E33" s="160" t="str">
        <f>_xlfn.CONCAT(E32,", ",TRIM(A33))</f>
        <v>Mankey, Poliwrath, Victreebel</v>
      </c>
      <c r="O33" s="161"/>
    </row>
    <row r="34" spans="1:15" x14ac:dyDescent="0.25">
      <c r="A34" s="160" t="s">
        <v>280</v>
      </c>
      <c r="B34" t="s">
        <v>109</v>
      </c>
      <c r="C34">
        <v>335</v>
      </c>
      <c r="D34" s="161" t="str">
        <f t="shared" si="7"/>
        <v xml:space="preserve">    Tentacool, Water</v>
      </c>
      <c r="E34" s="160" t="str">
        <f t="shared" ref="E34:E50" si="8">_xlfn.CONCAT(E33,", ",TRIM(A34))</f>
        <v>Mankey, Poliwrath, Victreebel, Tentacool</v>
      </c>
      <c r="O34" s="161"/>
    </row>
    <row r="35" spans="1:15" x14ac:dyDescent="0.25">
      <c r="A35" s="160" t="s">
        <v>281</v>
      </c>
      <c r="B35" t="s">
        <v>130</v>
      </c>
      <c r="C35">
        <v>465</v>
      </c>
      <c r="D35" s="161" t="str">
        <f t="shared" si="7"/>
        <v xml:space="preserve">    Magneton, Electric</v>
      </c>
      <c r="E35" s="160" t="str">
        <f t="shared" si="8"/>
        <v>Mankey, Poliwrath, Victreebel, Tentacool, Magneton</v>
      </c>
      <c r="O35" s="161"/>
    </row>
    <row r="36" spans="1:15" x14ac:dyDescent="0.25">
      <c r="A36" s="160" t="s">
        <v>282</v>
      </c>
      <c r="B36" t="s">
        <v>109</v>
      </c>
      <c r="C36">
        <v>475</v>
      </c>
      <c r="D36" s="161" t="str">
        <f t="shared" si="7"/>
        <v xml:space="preserve">    Dewgong, Water</v>
      </c>
      <c r="E36" s="160" t="str">
        <f t="shared" si="8"/>
        <v>Mankey, Poliwrath, Victreebel, Tentacool, Magneton, Dewgong</v>
      </c>
      <c r="O36" s="161"/>
    </row>
    <row r="37" spans="1:15" x14ac:dyDescent="0.25">
      <c r="A37" s="160" t="s">
        <v>283</v>
      </c>
      <c r="B37" t="s">
        <v>109</v>
      </c>
      <c r="C37">
        <v>525</v>
      </c>
      <c r="D37" s="161" t="str">
        <f t="shared" si="7"/>
        <v xml:space="preserve">    Cloyster, Water</v>
      </c>
      <c r="E37" s="160" t="str">
        <f t="shared" si="8"/>
        <v>Mankey, Poliwrath, Victreebel, Tentacool, Magneton, Dewgong, Cloyster</v>
      </c>
      <c r="O37" s="161"/>
    </row>
    <row r="38" spans="1:15" x14ac:dyDescent="0.25">
      <c r="A38" s="160" t="s">
        <v>284</v>
      </c>
      <c r="B38" t="s">
        <v>285</v>
      </c>
      <c r="C38">
        <v>385</v>
      </c>
      <c r="D38" s="161" t="str">
        <f t="shared" si="7"/>
        <v xml:space="preserve">    Onix, Rock</v>
      </c>
      <c r="E38" s="160" t="str">
        <f t="shared" si="8"/>
        <v>Mankey, Poliwrath, Victreebel, Tentacool, Magneton, Dewgong, Cloyster, Onix</v>
      </c>
      <c r="O38" s="161"/>
    </row>
    <row r="39" spans="1:15" x14ac:dyDescent="0.25">
      <c r="A39" s="160" t="s">
        <v>286</v>
      </c>
      <c r="B39" t="s">
        <v>107</v>
      </c>
      <c r="C39">
        <v>420</v>
      </c>
      <c r="D39" s="161" t="str">
        <f t="shared" si="7"/>
        <v xml:space="preserve">    Dragonair, Grass</v>
      </c>
      <c r="E39" s="160" t="str">
        <f t="shared" si="8"/>
        <v>Mankey, Poliwrath, Victreebel, Tentacool, Magneton, Dewgong, Cloyster, Onix, Dragonair</v>
      </c>
      <c r="O39" s="161"/>
    </row>
    <row r="40" spans="1:15" x14ac:dyDescent="0.25">
      <c r="A40" s="160" t="s">
        <v>287</v>
      </c>
      <c r="B40" t="s">
        <v>163</v>
      </c>
      <c r="C40">
        <v>349</v>
      </c>
      <c r="D40" s="161" t="str">
        <f t="shared" si="7"/>
        <v xml:space="preserve">    Pidgeotto, Normal</v>
      </c>
      <c r="E40" s="160" t="str">
        <f t="shared" si="8"/>
        <v>Mankey, Poliwrath, Victreebel, Tentacool, Magneton, Dewgong, Cloyster, Onix, Dragonair, Pidgeotto</v>
      </c>
      <c r="O40" s="161"/>
    </row>
    <row r="41" spans="1:15" x14ac:dyDescent="0.25">
      <c r="A41" s="160" t="s">
        <v>288</v>
      </c>
      <c r="B41" t="s">
        <v>163</v>
      </c>
      <c r="C41">
        <v>253</v>
      </c>
      <c r="D41" s="161" t="str">
        <f t="shared" si="7"/>
        <v xml:space="preserve">    Rattata, Normal</v>
      </c>
      <c r="E41" s="160" t="str">
        <f t="shared" si="8"/>
        <v>Mankey, Poliwrath, Victreebel, Tentacool, Magneton, Dewgong, Cloyster, Onix, Dragonair, Pidgeotto, Rattata</v>
      </c>
      <c r="O41" s="161"/>
    </row>
    <row r="42" spans="1:15" x14ac:dyDescent="0.25">
      <c r="A42" s="160" t="s">
        <v>289</v>
      </c>
      <c r="B42" t="s">
        <v>162</v>
      </c>
      <c r="C42">
        <v>395</v>
      </c>
      <c r="D42" s="161" t="str">
        <f t="shared" si="7"/>
        <v xml:space="preserve">    Beedrill, Bug</v>
      </c>
      <c r="E42" s="160" t="str">
        <f t="shared" si="8"/>
        <v>Mankey, Poliwrath, Victreebel, Tentacool, Magneton, Dewgong, Cloyster, Onix, Dragonair, Pidgeotto, Rattata, Beedrill</v>
      </c>
      <c r="O42" s="161"/>
    </row>
    <row r="43" spans="1:15" x14ac:dyDescent="0.25">
      <c r="A43" s="160" t="s">
        <v>290</v>
      </c>
      <c r="B43" t="s">
        <v>163</v>
      </c>
      <c r="C43">
        <v>310</v>
      </c>
      <c r="D43" s="161" t="str">
        <f t="shared" si="7"/>
        <v xml:space="preserve">    Doduo, Normal</v>
      </c>
      <c r="E43" s="160" t="str">
        <f t="shared" si="8"/>
        <v>Mankey, Poliwrath, Victreebel, Tentacool, Magneton, Dewgong, Cloyster, Onix, Dragonair, Pidgeotto, Rattata, Beedrill, Doduo</v>
      </c>
      <c r="O43" s="161"/>
    </row>
    <row r="44" spans="1:15" x14ac:dyDescent="0.25">
      <c r="A44" s="160" t="s">
        <v>291</v>
      </c>
      <c r="B44" t="s">
        <v>109</v>
      </c>
      <c r="C44">
        <v>475</v>
      </c>
      <c r="D44" s="161" t="str">
        <f t="shared" si="7"/>
        <v xml:space="preserve">    Kingler, Water</v>
      </c>
      <c r="E44" s="160" t="str">
        <f t="shared" si="8"/>
        <v>Mankey, Poliwrath, Victreebel, Tentacool, Magneton, Dewgong, Cloyster, Onix, Dragonair, Pidgeotto, Rattata, Beedrill, Doduo, Kingler</v>
      </c>
      <c r="O44" s="161"/>
    </row>
    <row r="45" spans="1:15" x14ac:dyDescent="0.25">
      <c r="A45" s="160" t="s">
        <v>292</v>
      </c>
      <c r="B45" t="s">
        <v>163</v>
      </c>
      <c r="C45">
        <v>505</v>
      </c>
      <c r="D45" s="161" t="str">
        <f t="shared" si="7"/>
        <v xml:space="preserve">    Nidoqueen, Normal</v>
      </c>
      <c r="E45" s="160" t="str">
        <f t="shared" si="8"/>
        <v>Mankey, Poliwrath, Victreebel, Tentacool, Magneton, Dewgong, Cloyster, Onix, Dragonair, Pidgeotto, Rattata, Beedrill, Doduo, Kingler, Nidoqueen</v>
      </c>
      <c r="O45" s="161"/>
    </row>
    <row r="46" spans="1:15" x14ac:dyDescent="0.25">
      <c r="A46" s="160" t="s">
        <v>293</v>
      </c>
      <c r="B46" t="s">
        <v>108</v>
      </c>
      <c r="C46">
        <v>455</v>
      </c>
      <c r="D46" s="161" t="str">
        <f t="shared" si="7"/>
        <v xml:space="preserve">    Hitmonchan, Fire</v>
      </c>
      <c r="E46" s="160" t="str">
        <f t="shared" si="8"/>
        <v>Mankey, Poliwrath, Victreebel, Tentacool, Magneton, Dewgong, Cloyster, Onix, Dragonair, Pidgeotto, Rattata, Beedrill, Doduo, Kingler, Nidoqueen, Hitmonchan</v>
      </c>
      <c r="O46" s="161"/>
    </row>
    <row r="47" spans="1:15" x14ac:dyDescent="0.25">
      <c r="A47" s="160" t="s">
        <v>244</v>
      </c>
      <c r="B47" t="s">
        <v>108</v>
      </c>
      <c r="C47">
        <v>405</v>
      </c>
      <c r="D47" s="161" t="str">
        <f t="shared" si="7"/>
        <v xml:space="preserve">    Charmeleon, Fire</v>
      </c>
      <c r="E47" s="160" t="str">
        <f t="shared" si="8"/>
        <v>Mankey, Poliwrath, Victreebel, Tentacool, Magneton, Dewgong, Cloyster, Onix, Dragonair, Pidgeotto, Rattata, Beedrill, Doduo, Kingler, Nidoqueen, Hitmonchan, Charmeleon</v>
      </c>
      <c r="O47" s="161"/>
    </row>
    <row r="48" spans="1:15" x14ac:dyDescent="0.25">
      <c r="A48" s="160" t="s">
        <v>294</v>
      </c>
      <c r="B48" t="s">
        <v>163</v>
      </c>
      <c r="C48">
        <v>438</v>
      </c>
      <c r="D48" s="161" t="str">
        <f t="shared" si="7"/>
        <v xml:space="preserve">    Arbok, Normal</v>
      </c>
      <c r="E48" s="160" t="str">
        <f t="shared" si="8"/>
        <v>Mankey, Poliwrath, Victreebel, Tentacool, Magneton, Dewgong, Cloyster, Onix, Dragonair, Pidgeotto, Rattata, Beedrill, Doduo, Kingler, Nidoqueen, Hitmonchan, Charmeleon, Arbok</v>
      </c>
      <c r="O48" s="161"/>
    </row>
    <row r="49" spans="1:15" x14ac:dyDescent="0.25">
      <c r="A49" s="160" t="s">
        <v>295</v>
      </c>
      <c r="B49" t="s">
        <v>162</v>
      </c>
      <c r="C49">
        <v>310</v>
      </c>
      <c r="D49" s="161" t="str">
        <f t="shared" si="7"/>
        <v xml:space="preserve">    Gastly, Bug</v>
      </c>
      <c r="E49" s="160" t="str">
        <f t="shared" si="8"/>
        <v>Mankey, Poliwrath, Victreebel, Tentacool, Magneton, Dewgong, Cloyster, Onix, Dragonair, Pidgeotto, Rattata, Beedrill, Doduo, Kingler, Nidoqueen, Hitmonchan, Charmeleon, Arbok, Gastly</v>
      </c>
      <c r="O49" s="161"/>
    </row>
    <row r="50" spans="1:15" ht="15.75" thickBot="1" x14ac:dyDescent="0.3">
      <c r="A50" s="162" t="s">
        <v>296</v>
      </c>
      <c r="B50" s="163" t="s">
        <v>109</v>
      </c>
      <c r="C50" s="163">
        <v>200</v>
      </c>
      <c r="D50" s="164" t="str">
        <f t="shared" si="7"/>
        <v xml:space="preserve">    Magikarp, Water</v>
      </c>
      <c r="E50" s="162" t="str">
        <f t="shared" si="8"/>
        <v>Mankey, Poliwrath, Victreebel, Tentacool, Magneton, Dewgong, Cloyster, Onix, Dragonair, Pidgeotto, Rattata, Beedrill, Doduo, Kingler, Nidoqueen, Hitmonchan, Charmeleon, Arbok, Gastly, Magikarp</v>
      </c>
      <c r="F50" s="163"/>
      <c r="G50" s="163"/>
      <c r="H50" s="163"/>
      <c r="I50" s="163"/>
      <c r="J50" s="163"/>
      <c r="K50" s="163"/>
      <c r="L50" s="163"/>
      <c r="M50" s="163"/>
      <c r="N50" s="163"/>
      <c r="O50" s="164"/>
    </row>
    <row r="51" spans="1:15" x14ac:dyDescent="0.25">
      <c r="A51" t="s">
        <v>166</v>
      </c>
    </row>
    <row r="52" spans="1:15" ht="15.75" thickBot="1" x14ac:dyDescent="0.3"/>
    <row r="53" spans="1:15" ht="15.75" thickBot="1" x14ac:dyDescent="0.3">
      <c r="A53" s="291" t="s">
        <v>331</v>
      </c>
      <c r="B53" s="292"/>
      <c r="C53" s="292"/>
      <c r="D53" s="293"/>
      <c r="E53" s="307" t="s">
        <v>320</v>
      </c>
      <c r="F53" s="308"/>
      <c r="K53" s="177" t="s">
        <v>322</v>
      </c>
      <c r="L53" s="176" t="s">
        <v>332</v>
      </c>
    </row>
    <row r="54" spans="1:15" ht="15.75" thickBot="1" x14ac:dyDescent="0.3">
      <c r="A54" s="304" t="s">
        <v>313</v>
      </c>
      <c r="B54" s="305"/>
      <c r="C54" s="305"/>
      <c r="D54" s="306"/>
      <c r="E54" s="296" t="s">
        <v>325</v>
      </c>
      <c r="F54" s="297"/>
      <c r="K54" s="178" t="s">
        <v>107</v>
      </c>
      <c r="L54" s="28">
        <f>COUNTIF(B$31:B$50,K54)</f>
        <v>2</v>
      </c>
    </row>
    <row r="55" spans="1:15" ht="15.75" thickBot="1" x14ac:dyDescent="0.3">
      <c r="A55" s="160" t="s">
        <v>278</v>
      </c>
      <c r="B55" t="str">
        <f>TRIM(A55)</f>
        <v>Poliwrath</v>
      </c>
      <c r="C55">
        <v>253</v>
      </c>
      <c r="D55" s="161"/>
      <c r="E55" s="298"/>
      <c r="F55" s="299"/>
      <c r="K55" s="165" t="s">
        <v>109</v>
      </c>
      <c r="L55" s="161">
        <f t="shared" ref="L55:L60" si="9">COUNTIF(B$31:B$50,K55)</f>
        <v>6</v>
      </c>
    </row>
    <row r="56" spans="1:15" ht="15.75" thickBot="1" x14ac:dyDescent="0.3">
      <c r="A56" s="160" t="s">
        <v>279</v>
      </c>
      <c r="B56" t="str">
        <f t="shared" ref="B56:B64" si="10">TRIM(A56)</f>
        <v>Victreebel</v>
      </c>
      <c r="C56">
        <v>395</v>
      </c>
      <c r="D56" s="161"/>
      <c r="E56" s="171" t="s">
        <v>323</v>
      </c>
      <c r="F56" s="161">
        <f>COUNTBLANK(A55:A64)</f>
        <v>2</v>
      </c>
      <c r="K56" s="165" t="s">
        <v>130</v>
      </c>
      <c r="L56" s="161">
        <f t="shared" si="9"/>
        <v>1</v>
      </c>
    </row>
    <row r="57" spans="1:15" ht="15.75" thickBot="1" x14ac:dyDescent="0.3">
      <c r="A57" s="160"/>
      <c r="B57" t="str">
        <f t="shared" si="10"/>
        <v/>
      </c>
      <c r="C57">
        <v>310</v>
      </c>
      <c r="E57" s="294" t="s">
        <v>327</v>
      </c>
      <c r="F57" s="295"/>
      <c r="K57" s="165" t="s">
        <v>162</v>
      </c>
      <c r="L57" s="161">
        <f t="shared" si="9"/>
        <v>2</v>
      </c>
    </row>
    <row r="58" spans="1:15" x14ac:dyDescent="0.25">
      <c r="A58" s="160" t="s">
        <v>281</v>
      </c>
      <c r="B58" t="str">
        <f t="shared" si="10"/>
        <v>Magneton</v>
      </c>
      <c r="C58">
        <v>475</v>
      </c>
      <c r="E58" s="173" t="s">
        <v>324</v>
      </c>
      <c r="F58" s="161">
        <f>COUNT(B31:B50)</f>
        <v>0</v>
      </c>
      <c r="K58" s="165" t="s">
        <v>285</v>
      </c>
      <c r="L58" s="161">
        <f t="shared" si="9"/>
        <v>1</v>
      </c>
    </row>
    <row r="59" spans="1:15" ht="15.75" thickBot="1" x14ac:dyDescent="0.3">
      <c r="A59" s="160" t="s">
        <v>282</v>
      </c>
      <c r="B59" t="str">
        <f t="shared" si="10"/>
        <v>Dewgong</v>
      </c>
      <c r="C59">
        <v>505</v>
      </c>
      <c r="E59" s="174"/>
      <c r="F59" s="175"/>
      <c r="K59" s="165" t="s">
        <v>108</v>
      </c>
      <c r="L59" s="161">
        <f t="shared" si="9"/>
        <v>3</v>
      </c>
    </row>
    <row r="60" spans="1:15" ht="15.75" thickBot="1" x14ac:dyDescent="0.3">
      <c r="A60" s="160" t="s">
        <v>283</v>
      </c>
      <c r="B60" t="str">
        <f t="shared" si="10"/>
        <v>Cloyster</v>
      </c>
      <c r="C60">
        <v>455</v>
      </c>
      <c r="D60" s="161"/>
      <c r="E60" s="307" t="s">
        <v>321</v>
      </c>
      <c r="F60" s="308"/>
      <c r="K60" s="166" t="s">
        <v>163</v>
      </c>
      <c r="L60" s="164">
        <f t="shared" si="9"/>
        <v>5</v>
      </c>
    </row>
    <row r="61" spans="1:15" ht="15.75" thickBot="1" x14ac:dyDescent="0.3">
      <c r="A61" s="160" t="s">
        <v>284</v>
      </c>
      <c r="B61" t="str">
        <f t="shared" si="10"/>
        <v>Onix</v>
      </c>
      <c r="C61">
        <v>405</v>
      </c>
      <c r="D61" s="161"/>
      <c r="E61" s="309" t="s">
        <v>326</v>
      </c>
      <c r="F61" s="310"/>
      <c r="K61" s="314" t="s">
        <v>334</v>
      </c>
      <c r="L61" s="308"/>
    </row>
    <row r="62" spans="1:15" x14ac:dyDescent="0.25">
      <c r="A62" s="160" t="s">
        <v>286</v>
      </c>
      <c r="B62" t="str">
        <f t="shared" si="10"/>
        <v>Dragonair</v>
      </c>
      <c r="C62">
        <v>438</v>
      </c>
      <c r="D62" s="161"/>
      <c r="E62" s="171" t="s">
        <v>328</v>
      </c>
      <c r="F62" s="165">
        <f>COUNTA(B31:C50)</f>
        <v>40</v>
      </c>
      <c r="K62" s="178" t="s">
        <v>310</v>
      </c>
      <c r="L62" s="28">
        <f>COUNTIF(C69:C77,"&gt;400")</f>
        <v>5</v>
      </c>
    </row>
    <row r="63" spans="1:15" ht="15.75" thickBot="1" x14ac:dyDescent="0.3">
      <c r="A63" s="160"/>
      <c r="B63" t="str">
        <f t="shared" si="10"/>
        <v/>
      </c>
      <c r="C63">
        <v>310</v>
      </c>
      <c r="D63" s="161"/>
      <c r="E63" s="169"/>
      <c r="F63" s="165"/>
      <c r="K63" s="166" t="s">
        <v>309</v>
      </c>
      <c r="L63" s="164">
        <f>COUNTIF(C$69:C$77,"&lt;400")</f>
        <v>4</v>
      </c>
    </row>
    <row r="64" spans="1:15" ht="15.75" thickBot="1" x14ac:dyDescent="0.3">
      <c r="A64" s="162" t="s">
        <v>288</v>
      </c>
      <c r="B64" s="163" t="str">
        <f t="shared" si="10"/>
        <v>Rattata</v>
      </c>
      <c r="C64" s="163">
        <v>200</v>
      </c>
      <c r="D64" s="164"/>
      <c r="E64" s="170"/>
      <c r="F64" s="166"/>
    </row>
    <row r="67" spans="1:7" ht="15.75" thickBot="1" x14ac:dyDescent="0.3"/>
    <row r="68" spans="1:7" ht="32.25" customHeight="1" thickBot="1" x14ac:dyDescent="0.3">
      <c r="A68" s="172" t="s">
        <v>298</v>
      </c>
      <c r="B68" s="180" t="s">
        <v>124</v>
      </c>
      <c r="C68" s="179" t="s">
        <v>34</v>
      </c>
      <c r="D68" s="187" t="s">
        <v>338</v>
      </c>
      <c r="E68" s="315" t="s">
        <v>339</v>
      </c>
      <c r="F68" s="316"/>
    </row>
    <row r="69" spans="1:7" x14ac:dyDescent="0.25">
      <c r="A69" s="167" t="s">
        <v>299</v>
      </c>
      <c r="B69" s="27" t="s">
        <v>107</v>
      </c>
      <c r="C69" s="181">
        <v>318</v>
      </c>
      <c r="D69" s="184" t="str">
        <f>IF(C69&gt;400, "High", "Low")</f>
        <v>Low</v>
      </c>
      <c r="E69" s="317" t="str" cm="1">
        <f t="array" ref="E69">_xlfn.IFS(C69&gt;400,"High", C69&gt;=300,"Normal",C69&lt;300,"Low")</f>
        <v>Normal</v>
      </c>
      <c r="F69" s="318"/>
    </row>
    <row r="70" spans="1:7" x14ac:dyDescent="0.25">
      <c r="A70" s="160" t="s">
        <v>300</v>
      </c>
      <c r="B70" t="s">
        <v>107</v>
      </c>
      <c r="C70" s="182">
        <v>405</v>
      </c>
      <c r="D70" s="185" t="str">
        <f t="shared" ref="D70:D77" si="11">IF(C70&gt;400, "High", "Low")</f>
        <v>High</v>
      </c>
      <c r="E70" s="317" t="str" cm="1">
        <f t="array" ref="E70">_xlfn.IFS(C70&gt;400,"High", C70&gt;=300,"Normal",C70&lt;300,"Low")</f>
        <v>High</v>
      </c>
      <c r="F70" s="318"/>
    </row>
    <row r="71" spans="1:7" x14ac:dyDescent="0.25">
      <c r="A71" s="160" t="s">
        <v>301</v>
      </c>
      <c r="B71" t="s">
        <v>107</v>
      </c>
      <c r="C71" s="182">
        <v>250</v>
      </c>
      <c r="D71" s="185" t="str">
        <f t="shared" si="11"/>
        <v>Low</v>
      </c>
      <c r="E71" s="317" t="str" cm="1">
        <f t="array" ref="E71">_xlfn.IFS(C71&gt;400,"High", C71&gt;=300,"Normal",C71&lt;300,"Low")</f>
        <v>Low</v>
      </c>
      <c r="F71" s="318"/>
    </row>
    <row r="72" spans="1:7" x14ac:dyDescent="0.25">
      <c r="A72" s="160" t="s">
        <v>302</v>
      </c>
      <c r="B72" t="s">
        <v>108</v>
      </c>
      <c r="C72" s="182">
        <v>309</v>
      </c>
      <c r="D72" s="185" t="str">
        <f t="shared" si="11"/>
        <v>Low</v>
      </c>
      <c r="E72" s="317" t="str" cm="1">
        <f t="array" ref="E72">_xlfn.IFS(C72&gt;400,"High", C72&gt;=300,"Normal",C72&lt;300,"Low")</f>
        <v>Normal</v>
      </c>
      <c r="F72" s="318"/>
    </row>
    <row r="73" spans="1:7" x14ac:dyDescent="0.25">
      <c r="A73" s="160" t="s">
        <v>303</v>
      </c>
      <c r="B73" t="s">
        <v>108</v>
      </c>
      <c r="C73" s="182">
        <v>405</v>
      </c>
      <c r="D73" s="185" t="str">
        <f t="shared" si="11"/>
        <v>High</v>
      </c>
      <c r="E73" s="317" t="str" cm="1">
        <f t="array" ref="E73">_xlfn.IFS(C73&gt;400,"High", C73&gt;=300,"Normal",C73&lt;300,"Low")</f>
        <v>High</v>
      </c>
      <c r="F73" s="318"/>
    </row>
    <row r="74" spans="1:7" x14ac:dyDescent="0.25">
      <c r="A74" s="160" t="s">
        <v>304</v>
      </c>
      <c r="B74" t="s">
        <v>108</v>
      </c>
      <c r="C74" s="182">
        <v>534</v>
      </c>
      <c r="D74" s="185" t="str">
        <f t="shared" si="11"/>
        <v>High</v>
      </c>
      <c r="E74" s="317" t="str" cm="1">
        <f t="array" ref="E74">_xlfn.IFS(C74&gt;400,"High", C74&gt;=300,"Normal",C74&lt;300,"Low")</f>
        <v>High</v>
      </c>
      <c r="F74" s="318"/>
    </row>
    <row r="75" spans="1:7" x14ac:dyDescent="0.25">
      <c r="A75" s="160" t="s">
        <v>305</v>
      </c>
      <c r="B75" t="s">
        <v>109</v>
      </c>
      <c r="C75" s="182">
        <v>314</v>
      </c>
      <c r="D75" s="185" t="str">
        <f t="shared" si="11"/>
        <v>Low</v>
      </c>
      <c r="E75" s="317" t="str" cm="1">
        <f t="array" ref="E75">_xlfn.IFS(C75&gt;400,"High", C75&gt;=300,"Normal",C75&lt;300,"Low")</f>
        <v>Normal</v>
      </c>
      <c r="F75" s="318"/>
    </row>
    <row r="76" spans="1:7" x14ac:dyDescent="0.25">
      <c r="A76" s="160" t="s">
        <v>306</v>
      </c>
      <c r="B76" t="s">
        <v>109</v>
      </c>
      <c r="C76" s="182">
        <v>405</v>
      </c>
      <c r="D76" s="185" t="str">
        <f t="shared" si="11"/>
        <v>High</v>
      </c>
      <c r="E76" s="317" t="str" cm="1">
        <f t="array" ref="E76">_xlfn.IFS(C76&gt;400,"High", C76&gt;=300,"Normal",C76&lt;300,"Low")</f>
        <v>High</v>
      </c>
      <c r="F76" s="318"/>
    </row>
    <row r="77" spans="1:7" ht="15.75" thickBot="1" x14ac:dyDescent="0.3">
      <c r="A77" s="162" t="s">
        <v>307</v>
      </c>
      <c r="B77" s="163" t="s">
        <v>109</v>
      </c>
      <c r="C77" s="183">
        <v>530</v>
      </c>
      <c r="D77" s="186" t="str">
        <f t="shared" si="11"/>
        <v>High</v>
      </c>
      <c r="E77" s="321" t="str" cm="1">
        <f t="array" ref="E77">_xlfn.IFS(C77&gt;400,"High", C77&gt;=300,"Normal",C77&lt;300,"Low")</f>
        <v>High</v>
      </c>
      <c r="F77" s="322"/>
    </row>
    <row r="78" spans="1:7" x14ac:dyDescent="0.25">
      <c r="A78" t="s">
        <v>308</v>
      </c>
    </row>
    <row r="79" spans="1:7" ht="15.75" thickBot="1" x14ac:dyDescent="0.3"/>
    <row r="80" spans="1:7" ht="35.25" customHeight="1" thickBot="1" x14ac:dyDescent="0.3">
      <c r="A80" s="188" t="s">
        <v>105</v>
      </c>
      <c r="B80" t="s">
        <v>340</v>
      </c>
      <c r="C80" t="s">
        <v>341</v>
      </c>
      <c r="D80" s="192" t="s">
        <v>343</v>
      </c>
      <c r="E80" s="193" t="s">
        <v>342</v>
      </c>
      <c r="F80" s="203" t="s">
        <v>364</v>
      </c>
      <c r="G80" s="205" t="s">
        <v>365</v>
      </c>
    </row>
    <row r="81" spans="1:7" x14ac:dyDescent="0.25">
      <c r="A81" s="178" t="s">
        <v>299</v>
      </c>
      <c r="B81" s="178" t="str" cm="1">
        <f t="array" ref="B81:B89">TRIM(A81:A89)</f>
        <v>Bulbasaur</v>
      </c>
      <c r="D81" s="189" t="str">
        <f>LEFT(B81)</f>
        <v>B</v>
      </c>
      <c r="E81" s="201" t="str">
        <f>LEFT(B81,4)</f>
        <v>Bulb</v>
      </c>
      <c r="F81" s="184" t="str">
        <f>RIGHT(B81)</f>
        <v>r</v>
      </c>
      <c r="G81" s="178" t="str">
        <f>RIGHT(B81,4)</f>
        <v>saur</v>
      </c>
    </row>
    <row r="82" spans="1:7" x14ac:dyDescent="0.25">
      <c r="A82" s="165" t="s">
        <v>300</v>
      </c>
      <c r="B82" s="165" t="str">
        <v>Ivysaur</v>
      </c>
      <c r="D82" s="190" t="str">
        <f t="shared" ref="D82:D89" si="12">LEFT(B82)</f>
        <v>I</v>
      </c>
      <c r="E82" s="200" t="str">
        <f t="shared" ref="E82:E89" si="13">LEFT(B82,4)</f>
        <v>Ivys</v>
      </c>
      <c r="F82" s="204" t="str">
        <f t="shared" ref="F82:F89" si="14">RIGHT(B82)</f>
        <v>r</v>
      </c>
      <c r="G82" s="165" t="str">
        <f t="shared" ref="G82:G89" si="15">RIGHT(B82,4)</f>
        <v>saur</v>
      </c>
    </row>
    <row r="83" spans="1:7" x14ac:dyDescent="0.25">
      <c r="A83" s="165" t="s">
        <v>301</v>
      </c>
      <c r="B83" s="165" t="str">
        <v>Venusaur</v>
      </c>
      <c r="D83" s="190" t="str">
        <f t="shared" si="12"/>
        <v>V</v>
      </c>
      <c r="E83" s="200" t="str">
        <f t="shared" si="13"/>
        <v>Venu</v>
      </c>
      <c r="F83" s="204" t="str">
        <f t="shared" si="14"/>
        <v>r</v>
      </c>
      <c r="G83" s="165" t="str">
        <f t="shared" si="15"/>
        <v>saur</v>
      </c>
    </row>
    <row r="84" spans="1:7" x14ac:dyDescent="0.25">
      <c r="A84" s="165" t="s">
        <v>302</v>
      </c>
      <c r="B84" s="165" t="str">
        <v>Charmander</v>
      </c>
      <c r="D84" s="190" t="str">
        <f t="shared" si="12"/>
        <v>C</v>
      </c>
      <c r="E84" s="200" t="str">
        <f t="shared" si="13"/>
        <v>Char</v>
      </c>
      <c r="F84" s="204" t="str">
        <f t="shared" si="14"/>
        <v>r</v>
      </c>
      <c r="G84" s="165" t="str">
        <f t="shared" si="15"/>
        <v>nder</v>
      </c>
    </row>
    <row r="85" spans="1:7" x14ac:dyDescent="0.25">
      <c r="A85" s="165" t="s">
        <v>303</v>
      </c>
      <c r="B85" s="165" t="str">
        <v>Charmeleon</v>
      </c>
      <c r="D85" s="190" t="str">
        <f t="shared" si="12"/>
        <v>C</v>
      </c>
      <c r="E85" s="200" t="str">
        <f t="shared" si="13"/>
        <v>Char</v>
      </c>
      <c r="F85" s="204" t="str">
        <f t="shared" si="14"/>
        <v>n</v>
      </c>
      <c r="G85" s="165" t="str">
        <f t="shared" si="15"/>
        <v>leon</v>
      </c>
    </row>
    <row r="86" spans="1:7" x14ac:dyDescent="0.25">
      <c r="A86" s="165" t="s">
        <v>304</v>
      </c>
      <c r="B86" s="165" t="str">
        <v>Charizard</v>
      </c>
      <c r="D86" s="190" t="str">
        <f t="shared" si="12"/>
        <v>C</v>
      </c>
      <c r="E86" s="200" t="str">
        <f t="shared" si="13"/>
        <v>Char</v>
      </c>
      <c r="F86" s="204" t="str">
        <f t="shared" si="14"/>
        <v>d</v>
      </c>
      <c r="G86" s="165" t="str">
        <f t="shared" si="15"/>
        <v>zard</v>
      </c>
    </row>
    <row r="87" spans="1:7" x14ac:dyDescent="0.25">
      <c r="A87" s="165" t="s">
        <v>305</v>
      </c>
      <c r="B87" s="165" t="str">
        <v>Squirtle</v>
      </c>
      <c r="D87" s="190" t="str">
        <f t="shared" si="12"/>
        <v>S</v>
      </c>
      <c r="E87" s="200" t="str">
        <f t="shared" si="13"/>
        <v>Squi</v>
      </c>
      <c r="F87" s="204" t="str">
        <f t="shared" si="14"/>
        <v>e</v>
      </c>
      <c r="G87" s="165" t="str">
        <f t="shared" si="15"/>
        <v>rtle</v>
      </c>
    </row>
    <row r="88" spans="1:7" x14ac:dyDescent="0.25">
      <c r="A88" s="165" t="s">
        <v>306</v>
      </c>
      <c r="B88" s="165" t="str">
        <v>Wartortle</v>
      </c>
      <c r="D88" s="190" t="str">
        <f t="shared" si="12"/>
        <v>W</v>
      </c>
      <c r="E88" s="200" t="str">
        <f t="shared" si="13"/>
        <v>Wart</v>
      </c>
      <c r="F88" s="204" t="str">
        <f t="shared" si="14"/>
        <v>e</v>
      </c>
      <c r="G88" s="165" t="str">
        <f t="shared" si="15"/>
        <v>rtle</v>
      </c>
    </row>
    <row r="89" spans="1:7" ht="15.75" thickBot="1" x14ac:dyDescent="0.3">
      <c r="A89" s="166" t="s">
        <v>307</v>
      </c>
      <c r="B89" s="166" t="str">
        <v>Blastoise</v>
      </c>
      <c r="D89" s="191" t="str">
        <f t="shared" si="12"/>
        <v>B</v>
      </c>
      <c r="E89" s="202" t="str">
        <f t="shared" si="13"/>
        <v>Blas</v>
      </c>
      <c r="F89" s="186" t="str">
        <f t="shared" si="14"/>
        <v>e</v>
      </c>
      <c r="G89" s="166" t="str">
        <f t="shared" si="15"/>
        <v>oise</v>
      </c>
    </row>
    <row r="91" spans="1:7" ht="15.75" thickBot="1" x14ac:dyDescent="0.3"/>
    <row r="92" spans="1:7" ht="29.25" customHeight="1" thickBot="1" x14ac:dyDescent="0.3">
      <c r="A92" s="194" t="s">
        <v>238</v>
      </c>
      <c r="B92" s="195" t="s">
        <v>124</v>
      </c>
      <c r="C92" s="196" t="s">
        <v>277</v>
      </c>
      <c r="D92" s="197" t="s">
        <v>362</v>
      </c>
      <c r="E92" s="319" t="s">
        <v>363</v>
      </c>
      <c r="F92" s="320"/>
    </row>
    <row r="93" spans="1:7" x14ac:dyDescent="0.25">
      <c r="A93" s="160" t="s">
        <v>353</v>
      </c>
      <c r="B93" t="s">
        <v>344</v>
      </c>
      <c r="C93" s="161">
        <v>305</v>
      </c>
      <c r="D93" s="168" t="str">
        <f>LOWER(A93)</f>
        <v>mankey</v>
      </c>
      <c r="E93" s="185" t="str" cm="1">
        <f t="array" ref="E93:F101">LOWER(A93:B101)</f>
        <v>mankey</v>
      </c>
      <c r="F93" s="198" t="str">
        <v>fighting</v>
      </c>
    </row>
    <row r="94" spans="1:7" x14ac:dyDescent="0.25">
      <c r="A94" s="160" t="s">
        <v>354</v>
      </c>
      <c r="B94" t="s">
        <v>345</v>
      </c>
      <c r="C94" s="161">
        <v>510</v>
      </c>
      <c r="D94" s="169" t="str">
        <f t="shared" ref="D94:D101" si="16">LOWER(A94)</f>
        <v>poliwrath</v>
      </c>
      <c r="E94" s="185" t="str">
        <v>poliwrath</v>
      </c>
      <c r="F94" s="198" t="str">
        <v>water</v>
      </c>
    </row>
    <row r="95" spans="1:7" x14ac:dyDescent="0.25">
      <c r="A95" s="160" t="s">
        <v>355</v>
      </c>
      <c r="B95" t="s">
        <v>346</v>
      </c>
      <c r="C95" s="161">
        <v>490</v>
      </c>
      <c r="D95" s="169" t="str">
        <f t="shared" si="16"/>
        <v>victreebel</v>
      </c>
      <c r="E95" s="185" t="str">
        <v>victreebel</v>
      </c>
      <c r="F95" s="198" t="str">
        <v>grass</v>
      </c>
    </row>
    <row r="96" spans="1:7" x14ac:dyDescent="0.25">
      <c r="A96" s="160" t="s">
        <v>356</v>
      </c>
      <c r="B96" t="s">
        <v>347</v>
      </c>
      <c r="C96" s="161">
        <v>335</v>
      </c>
      <c r="D96" s="169" t="str">
        <f t="shared" si="16"/>
        <v>tentacool</v>
      </c>
      <c r="E96" s="185" t="str">
        <v>tentacool</v>
      </c>
      <c r="F96" s="198" t="str">
        <v>water</v>
      </c>
    </row>
    <row r="97" spans="1:6" x14ac:dyDescent="0.25">
      <c r="A97" s="160" t="s">
        <v>357</v>
      </c>
      <c r="B97" t="s">
        <v>348</v>
      </c>
      <c r="C97" s="161">
        <v>465</v>
      </c>
      <c r="D97" s="169" t="str">
        <f t="shared" si="16"/>
        <v>magneton</v>
      </c>
      <c r="E97" s="185" t="str">
        <v>magneton</v>
      </c>
      <c r="F97" s="198" t="str">
        <v>electric</v>
      </c>
    </row>
    <row r="98" spans="1:6" x14ac:dyDescent="0.25">
      <c r="A98" s="160" t="s">
        <v>358</v>
      </c>
      <c r="B98" t="s">
        <v>349</v>
      </c>
      <c r="C98" s="161">
        <v>475</v>
      </c>
      <c r="D98" s="169" t="str">
        <f t="shared" si="16"/>
        <v>dewgong</v>
      </c>
      <c r="E98" s="185" t="str">
        <v>dewgong</v>
      </c>
      <c r="F98" s="198" t="str">
        <v>water</v>
      </c>
    </row>
    <row r="99" spans="1:6" x14ac:dyDescent="0.25">
      <c r="A99" s="160" t="s">
        <v>359</v>
      </c>
      <c r="B99" t="s">
        <v>350</v>
      </c>
      <c r="C99" s="161">
        <v>-525</v>
      </c>
      <c r="D99" s="169" t="str">
        <f t="shared" si="16"/>
        <v>cloyster</v>
      </c>
      <c r="E99" s="185" t="str">
        <v>cloyster</v>
      </c>
      <c r="F99" s="198" t="str">
        <v>water</v>
      </c>
    </row>
    <row r="100" spans="1:6" x14ac:dyDescent="0.25">
      <c r="A100" s="160" t="s">
        <v>360</v>
      </c>
      <c r="B100" t="s">
        <v>351</v>
      </c>
      <c r="C100" s="161">
        <v>385</v>
      </c>
      <c r="D100" s="169" t="str">
        <f t="shared" si="16"/>
        <v>onix</v>
      </c>
      <c r="E100" s="185" t="str">
        <v>onix</v>
      </c>
      <c r="F100" s="198" t="str">
        <v>rock</v>
      </c>
    </row>
    <row r="101" spans="1:6" ht="15.75" thickBot="1" x14ac:dyDescent="0.3">
      <c r="A101" s="162" t="s">
        <v>361</v>
      </c>
      <c r="B101" s="163" t="s">
        <v>352</v>
      </c>
      <c r="C101" s="164">
        <v>420</v>
      </c>
      <c r="D101" s="170" t="str">
        <f t="shared" si="16"/>
        <v>dragonair</v>
      </c>
      <c r="E101" s="186" t="str">
        <v>dragonair</v>
      </c>
      <c r="F101" s="199" t="str">
        <v>dragon</v>
      </c>
    </row>
    <row r="102" spans="1:6" ht="28.5" customHeight="1" thickBot="1" x14ac:dyDescent="0.3">
      <c r="A102" s="27" t="s">
        <v>107</v>
      </c>
      <c r="B102" s="181">
        <v>318</v>
      </c>
      <c r="C102" s="206" t="s">
        <v>375</v>
      </c>
      <c r="D102" s="209" t="s">
        <v>370</v>
      </c>
      <c r="E102" s="208" t="s">
        <v>369</v>
      </c>
    </row>
    <row r="103" spans="1:6" ht="15.75" thickBot="1" x14ac:dyDescent="0.3">
      <c r="A103" t="s">
        <v>107</v>
      </c>
      <c r="B103" s="182">
        <v>405</v>
      </c>
      <c r="C103" s="216">
        <f>SUM(B102:B110)</f>
        <v>3165</v>
      </c>
      <c r="D103" s="212" t="s">
        <v>107</v>
      </c>
      <c r="E103" s="168">
        <f>SUMIF(A$102:A$110,D103, B$102:B$110)</f>
        <v>473</v>
      </c>
    </row>
    <row r="104" spans="1:6" x14ac:dyDescent="0.25">
      <c r="A104" t="s">
        <v>107</v>
      </c>
      <c r="B104" s="182">
        <v>-250</v>
      </c>
      <c r="C104" s="215" t="s">
        <v>372</v>
      </c>
      <c r="D104" s="204" t="s">
        <v>108</v>
      </c>
      <c r="E104" s="25">
        <f t="shared" ref="E104:E105" si="17">SUMIF(A$102:A$110,D104, B$102:B$110)</f>
        <v>1248</v>
      </c>
    </row>
    <row r="105" spans="1:6" ht="15.75" thickBot="1" x14ac:dyDescent="0.3">
      <c r="A105" t="s">
        <v>108</v>
      </c>
      <c r="B105" s="11">
        <v>309</v>
      </c>
      <c r="C105" s="214">
        <f>MAX(B102:B110)</f>
        <v>600</v>
      </c>
      <c r="D105" s="213" t="s">
        <v>109</v>
      </c>
      <c r="E105" s="170">
        <f t="shared" si="17"/>
        <v>1444</v>
      </c>
    </row>
    <row r="106" spans="1:6" x14ac:dyDescent="0.25">
      <c r="A106" t="s">
        <v>108</v>
      </c>
      <c r="B106" s="11">
        <v>405</v>
      </c>
      <c r="C106" s="215" t="s">
        <v>373</v>
      </c>
    </row>
    <row r="107" spans="1:6" ht="15.75" thickBot="1" x14ac:dyDescent="0.3">
      <c r="A107" t="s">
        <v>108</v>
      </c>
      <c r="B107" s="182">
        <v>534</v>
      </c>
      <c r="C107" s="214">
        <f>MIN(B102:B110)</f>
        <v>-250</v>
      </c>
    </row>
    <row r="108" spans="1:6" ht="15.75" thickBot="1" x14ac:dyDescent="0.3">
      <c r="A108" t="s">
        <v>109</v>
      </c>
      <c r="B108" s="182">
        <v>314</v>
      </c>
      <c r="C108" s="217" t="s">
        <v>374</v>
      </c>
    </row>
    <row r="109" spans="1:6" ht="15.75" thickBot="1" x14ac:dyDescent="0.3">
      <c r="A109" t="s">
        <v>109</v>
      </c>
      <c r="B109" s="182">
        <v>600</v>
      </c>
      <c r="C109" s="207">
        <f>MEDIAN(B102:B110)</f>
        <v>405</v>
      </c>
    </row>
    <row r="110" spans="1:6" ht="15.75" thickBot="1" x14ac:dyDescent="0.3">
      <c r="A110" s="163" t="s">
        <v>109</v>
      </c>
      <c r="B110" s="183">
        <v>530</v>
      </c>
      <c r="C110" s="217" t="s">
        <v>380</v>
      </c>
    </row>
    <row r="111" spans="1:6" ht="15.75" thickBot="1" x14ac:dyDescent="0.3">
      <c r="C111" s="207">
        <f>MODE(B102:B110)</f>
        <v>405</v>
      </c>
    </row>
    <row r="112" spans="1:6" ht="15.75" thickBot="1" x14ac:dyDescent="0.3">
      <c r="B112" s="182"/>
    </row>
    <row r="113" spans="1:3" s="10" customFormat="1" ht="15.75" thickBot="1" x14ac:dyDescent="0.3">
      <c r="A113" s="156" t="s">
        <v>392</v>
      </c>
      <c r="B113" s="239" t="s">
        <v>393</v>
      </c>
      <c r="C113" s="158" t="s">
        <v>394</v>
      </c>
    </row>
    <row r="114" spans="1:3" x14ac:dyDescent="0.25">
      <c r="A114" s="160" t="s">
        <v>388</v>
      </c>
      <c r="B114" s="182">
        <v>7450000</v>
      </c>
      <c r="C114" s="178" t="str" cm="1">
        <f t="array" ref="C114:C117">VLOOKUP(A114:A117,StateCode!A1:B7,2,FALSE)</f>
        <v>Colorado</v>
      </c>
    </row>
    <row r="115" spans="1:3" x14ac:dyDescent="0.25">
      <c r="A115" s="160" t="s">
        <v>389</v>
      </c>
      <c r="B115" s="182">
        <v>35000000</v>
      </c>
      <c r="C115" s="165" t="str">
        <v>New York</v>
      </c>
    </row>
    <row r="116" spans="1:3" x14ac:dyDescent="0.25">
      <c r="A116" s="160" t="s">
        <v>390</v>
      </c>
      <c r="B116" s="182">
        <v>40000000</v>
      </c>
      <c r="C116" s="165" t="str">
        <v>California</v>
      </c>
    </row>
    <row r="117" spans="1:3" ht="15.75" thickBot="1" x14ac:dyDescent="0.3">
      <c r="A117" s="162" t="s">
        <v>391</v>
      </c>
      <c r="B117" s="183">
        <v>65000</v>
      </c>
      <c r="C117" s="166" t="str">
        <v>Wayming</v>
      </c>
    </row>
    <row r="118" spans="1:3" x14ac:dyDescent="0.25">
      <c r="B118" s="11"/>
    </row>
  </sheetData>
  <sortState xmlns:xlrd2="http://schemas.microsoft.com/office/spreadsheetml/2017/richdata2" ref="B114:B122">
    <sortCondition ref="B114:B122"/>
  </sortState>
  <mergeCells count="23">
    <mergeCell ref="E92:F92"/>
    <mergeCell ref="E73:F73"/>
    <mergeCell ref="E74:F74"/>
    <mergeCell ref="E75:F75"/>
    <mergeCell ref="E76:F76"/>
    <mergeCell ref="E77:F77"/>
    <mergeCell ref="E68:F68"/>
    <mergeCell ref="E69:F69"/>
    <mergeCell ref="E70:F70"/>
    <mergeCell ref="E71:F71"/>
    <mergeCell ref="E72:F72"/>
    <mergeCell ref="E61:F61"/>
    <mergeCell ref="E31:O31"/>
    <mergeCell ref="E30:O30"/>
    <mergeCell ref="K61:L61"/>
    <mergeCell ref="E60:F60"/>
    <mergeCell ref="A53:D53"/>
    <mergeCell ref="E57:F57"/>
    <mergeCell ref="E54:F55"/>
    <mergeCell ref="A1:C1"/>
    <mergeCell ref="A15:F15"/>
    <mergeCell ref="A54:D54"/>
    <mergeCell ref="E53:F53"/>
  </mergeCells>
  <pageMargins left="0.7" right="0.7" top="0.75" bottom="0.75" header="0.3" footer="0.3"/>
  <pageSetup orientation="portrait" horizontalDpi="90" verticalDpi="9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A8E976-46F9-42F1-BAEC-D9BBBFBF9D99}">
  <dimension ref="A1:B7"/>
  <sheetViews>
    <sheetView workbookViewId="0">
      <selection sqref="A1:XFD1"/>
    </sheetView>
  </sheetViews>
  <sheetFormatPr defaultRowHeight="15" x14ac:dyDescent="0.25"/>
  <cols>
    <col min="1" max="1" width="10.5703125" bestFit="1" customWidth="1"/>
    <col min="2" max="2" width="11.28515625" bestFit="1" customWidth="1"/>
  </cols>
  <sheetData>
    <row r="1" spans="1:2" s="10" customFormat="1" x14ac:dyDescent="0.25">
      <c r="A1" s="10" t="s">
        <v>392</v>
      </c>
      <c r="B1" s="10" t="s">
        <v>394</v>
      </c>
    </row>
    <row r="2" spans="1:2" x14ac:dyDescent="0.25">
      <c r="A2" t="s">
        <v>388</v>
      </c>
      <c r="B2" t="s">
        <v>395</v>
      </c>
    </row>
    <row r="3" spans="1:2" x14ac:dyDescent="0.25">
      <c r="A3" t="s">
        <v>396</v>
      </c>
      <c r="B3" t="s">
        <v>397</v>
      </c>
    </row>
    <row r="4" spans="1:2" x14ac:dyDescent="0.25">
      <c r="A4" t="s">
        <v>389</v>
      </c>
      <c r="B4" t="s">
        <v>398</v>
      </c>
    </row>
    <row r="5" spans="1:2" x14ac:dyDescent="0.25">
      <c r="A5" t="s">
        <v>399</v>
      </c>
      <c r="B5" t="s">
        <v>400</v>
      </c>
    </row>
    <row r="6" spans="1:2" x14ac:dyDescent="0.25">
      <c r="A6" t="s">
        <v>390</v>
      </c>
      <c r="B6" t="s">
        <v>401</v>
      </c>
    </row>
    <row r="7" spans="1:2" x14ac:dyDescent="0.25">
      <c r="A7" t="s">
        <v>391</v>
      </c>
      <c r="B7" t="s">
        <v>402</v>
      </c>
    </row>
  </sheetData>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C588C3-B5ED-4D3E-989B-C5C1AC4FF9B5}">
  <sheetPr codeName="Sheet2">
    <tabColor rgb="FF00B0F0"/>
  </sheetPr>
  <dimension ref="A1:S42"/>
  <sheetViews>
    <sheetView topLeftCell="A9" zoomScale="130" zoomScaleNormal="130" workbookViewId="0">
      <selection activeCell="L16" sqref="L16"/>
    </sheetView>
  </sheetViews>
  <sheetFormatPr defaultRowHeight="15" x14ac:dyDescent="0.25"/>
  <cols>
    <col min="2" max="2" width="26.42578125" customWidth="1"/>
    <col min="3" max="3" width="33.85546875" bestFit="1" customWidth="1"/>
    <col min="4" max="4" width="14" bestFit="1" customWidth="1"/>
  </cols>
  <sheetData>
    <row r="1" spans="1:7" ht="25.5" customHeight="1" x14ac:dyDescent="0.3">
      <c r="A1">
        <v>1</v>
      </c>
      <c r="B1" s="5" t="s">
        <v>25</v>
      </c>
      <c r="C1" s="2" t="s">
        <v>16</v>
      </c>
      <c r="D1" t="s">
        <v>17</v>
      </c>
    </row>
    <row r="2" spans="1:7" x14ac:dyDescent="0.25">
      <c r="B2" s="4" t="s">
        <v>1</v>
      </c>
      <c r="C2" s="3" t="s">
        <v>11</v>
      </c>
      <c r="D2" s="3" t="s">
        <v>13</v>
      </c>
    </row>
    <row r="3" spans="1:7" x14ac:dyDescent="0.25">
      <c r="B3" s="1" t="s">
        <v>3</v>
      </c>
      <c r="C3" t="s">
        <v>12</v>
      </c>
      <c r="D3" t="s">
        <v>14</v>
      </c>
    </row>
    <row r="4" spans="1:7" x14ac:dyDescent="0.25">
      <c r="B4" s="1" t="s">
        <v>5</v>
      </c>
      <c r="C4" t="s">
        <v>13</v>
      </c>
      <c r="D4" t="s">
        <v>15</v>
      </c>
    </row>
    <row r="5" spans="1:7" x14ac:dyDescent="0.25">
      <c r="B5" s="1" t="s">
        <v>7</v>
      </c>
    </row>
    <row r="9" spans="1:7" ht="18.75" x14ac:dyDescent="0.3">
      <c r="A9">
        <v>2</v>
      </c>
      <c r="B9" t="s">
        <v>64</v>
      </c>
      <c r="C9" s="2" t="s">
        <v>24</v>
      </c>
      <c r="D9" s="16" t="s">
        <v>21</v>
      </c>
      <c r="G9" t="s">
        <v>66</v>
      </c>
    </row>
    <row r="10" spans="1:7" x14ac:dyDescent="0.25">
      <c r="B10" s="1" t="s">
        <v>18</v>
      </c>
      <c r="C10" s="1" t="s">
        <v>23</v>
      </c>
    </row>
    <row r="11" spans="1:7" x14ac:dyDescent="0.25">
      <c r="B11" s="1" t="s">
        <v>19</v>
      </c>
      <c r="C11" s="7" t="s">
        <v>65</v>
      </c>
    </row>
    <row r="12" spans="1:7" x14ac:dyDescent="0.25">
      <c r="B12" s="1" t="s">
        <v>20</v>
      </c>
      <c r="C12" s="1" t="s">
        <v>22</v>
      </c>
    </row>
    <row r="13" spans="1:7" x14ac:dyDescent="0.25">
      <c r="B13" s="1"/>
      <c r="C13" s="1"/>
    </row>
    <row r="14" spans="1:7" x14ac:dyDescent="0.25">
      <c r="B14" s="1"/>
      <c r="C14" s="1"/>
    </row>
    <row r="15" spans="1:7" x14ac:dyDescent="0.25">
      <c r="B15" s="1"/>
      <c r="C15" s="1"/>
    </row>
    <row r="16" spans="1:7" x14ac:dyDescent="0.25">
      <c r="B16" s="1"/>
      <c r="C16" s="1"/>
    </row>
    <row r="17" spans="1:19" x14ac:dyDescent="0.25">
      <c r="C17" s="6"/>
    </row>
    <row r="20" spans="1:19" ht="45.75" customHeight="1" x14ac:dyDescent="0.35">
      <c r="A20">
        <v>3</v>
      </c>
      <c r="B20" s="9" t="s">
        <v>28</v>
      </c>
      <c r="C20" s="8" t="s">
        <v>27</v>
      </c>
      <c r="F20" s="323" t="s">
        <v>29</v>
      </c>
      <c r="G20" s="323"/>
      <c r="H20" s="323"/>
      <c r="I20" s="323"/>
      <c r="J20" s="323"/>
      <c r="K20" s="323"/>
      <c r="L20" s="323"/>
      <c r="M20" s="323"/>
      <c r="N20" s="323"/>
      <c r="O20" s="323"/>
      <c r="P20" s="323"/>
      <c r="Q20" s="323"/>
      <c r="R20" s="323"/>
      <c r="S20" s="323"/>
    </row>
    <row r="21" spans="1:19" x14ac:dyDescent="0.25">
      <c r="B21" t="s">
        <v>31</v>
      </c>
      <c r="C21" t="str" cm="1">
        <f t="array" ref="C21:D21">splt(B21)</f>
        <v>Lisa</v>
      </c>
      <c r="D21" t="str">
        <v>Rai</v>
      </c>
    </row>
    <row r="22" spans="1:19" x14ac:dyDescent="0.25">
      <c r="B22" t="s">
        <v>32</v>
      </c>
      <c r="C22" t="str" cm="1">
        <f t="array" ref="C22:D22">splt(B22)</f>
        <v>Mimi</v>
      </c>
      <c r="D22" t="str">
        <v>Rai</v>
      </c>
    </row>
    <row r="23" spans="1:19" x14ac:dyDescent="0.25">
      <c r="B23" t="s">
        <v>30</v>
      </c>
      <c r="C23" t="str" cm="1">
        <f t="array" ref="C23:D23">splt(B23)</f>
        <v>Prakash</v>
      </c>
      <c r="D23" t="str">
        <v>Rai</v>
      </c>
    </row>
    <row r="24" spans="1:19" x14ac:dyDescent="0.25">
      <c r="B24" t="s">
        <v>26</v>
      </c>
      <c r="C24" t="str" cm="1">
        <f t="array" ref="C24:D24">splt(B24)</f>
        <v>Sumita</v>
      </c>
      <c r="D24" t="str">
        <v>Rai</v>
      </c>
    </row>
    <row r="36" spans="1:4" x14ac:dyDescent="0.25">
      <c r="C36">
        <v>2</v>
      </c>
    </row>
    <row r="37" spans="1:4" x14ac:dyDescent="0.25">
      <c r="D37" t="s">
        <v>33</v>
      </c>
    </row>
    <row r="38" spans="1:4" x14ac:dyDescent="0.25">
      <c r="B38">
        <v>523</v>
      </c>
      <c r="C38">
        <v>235</v>
      </c>
      <c r="D38">
        <f>B38-C38</f>
        <v>288</v>
      </c>
    </row>
    <row r="39" spans="1:4" x14ac:dyDescent="0.25">
      <c r="B39">
        <v>256</v>
      </c>
      <c r="C39">
        <v>582</v>
      </c>
      <c r="D39">
        <f>B39-C39</f>
        <v>-326</v>
      </c>
    </row>
    <row r="40" spans="1:4" x14ac:dyDescent="0.25">
      <c r="B40">
        <v>100</v>
      </c>
      <c r="C40">
        <v>124</v>
      </c>
      <c r="D40">
        <f>B40-C40</f>
        <v>-24</v>
      </c>
    </row>
    <row r="41" spans="1:4" x14ac:dyDescent="0.25">
      <c r="B41">
        <v>250</v>
      </c>
      <c r="C41">
        <v>352</v>
      </c>
      <c r="D41">
        <f>B41-C41</f>
        <v>-102</v>
      </c>
    </row>
    <row r="42" spans="1:4" x14ac:dyDescent="0.25">
      <c r="A42" s="10" t="s">
        <v>35</v>
      </c>
      <c r="B42" s="3">
        <f>SUM(B38:B41)</f>
        <v>1129</v>
      </c>
    </row>
  </sheetData>
  <sortState xmlns:xlrd2="http://schemas.microsoft.com/office/spreadsheetml/2017/richdata2" ref="A21:D24">
    <sortCondition ref="B21:B24"/>
  </sortState>
  <mergeCells count="1">
    <mergeCell ref="F20:S20"/>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Sheet1</vt:lpstr>
      <vt:lpstr>Excel Basics</vt:lpstr>
      <vt:lpstr>Pivot Table and Chart</vt:lpstr>
      <vt:lpstr>Conditional Formatting</vt:lpstr>
      <vt:lpstr>Excel Functions</vt:lpstr>
      <vt:lpstr>StateCode</vt:lpstr>
      <vt:lpstr>shortcuts</vt:lpstr>
    </vt:vector>
  </TitlesOfParts>
  <Company>Shane Co.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Sumita Rai</dc:creator>
  <cp:lastModifiedBy>Sumita Rai</cp:lastModifiedBy>
  <dcterms:created xsi:type="dcterms:W3CDTF">2019-11-08T17:32:44Z</dcterms:created>
  <dcterms:modified xsi:type="dcterms:W3CDTF">2024-02-12T22:04:34Z</dcterms:modified>
</cp:coreProperties>
</file>