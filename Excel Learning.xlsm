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EXCEL TIPS\"/>
    </mc:Choice>
  </mc:AlternateContent>
  <xr:revisionPtr revIDLastSave="0" documentId="13_ncr:1_{391564E5-DB2A-4135-9A24-6A261B43C97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Sheet4" sheetId="4" r:id="rId2"/>
    <sheet name="Sheet2" sheetId="2" r:id="rId3"/>
    <sheet name="Sheet3" sheetId="3" r:id="rId4"/>
  </sheets>
  <functionGroups builtInGroupCount="19"/>
  <calcPr calcId="191029"/>
  <pivotCaches>
    <pivotCache cacheId="1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2" i="4"/>
  <c r="B42" i="2"/>
  <c r="D39" i="2" l="1"/>
  <c r="D40" i="2"/>
  <c r="D41" i="2"/>
  <c r="D38" i="2"/>
  <c r="C21" i="2" a="1"/>
  <c r="C22" i="2" a="1"/>
  <c r="C23" i="2" a="1"/>
  <c r="C24" i="2" a="1"/>
  <c r="C23" i="2" l="1"/>
  <c r="C22" i="2"/>
  <c r="C24" i="2"/>
  <c r="C2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<sst xmlns="http://schemas.openxmlformats.org/spreadsheetml/2006/main" count="332" uniqueCount="66">
  <si>
    <t>Excel's Business Intelligence</t>
  </si>
  <si>
    <t>Raw Data</t>
  </si>
  <si>
    <t>File, Excel tables, DB(SQL, Azure)</t>
  </si>
  <si>
    <t>Power Query</t>
  </si>
  <si>
    <t>aka Get &amp; Transform</t>
  </si>
  <si>
    <t>Data Model</t>
  </si>
  <si>
    <t>Create Table relationships</t>
  </si>
  <si>
    <t>Power Pivot &amp; DAX</t>
  </si>
  <si>
    <t>Explore and analyze the entire data model</t>
  </si>
  <si>
    <t xml:space="preserve">DAX </t>
  </si>
  <si>
    <t>Data Analysis Experssions</t>
  </si>
  <si>
    <t>Raw</t>
  </si>
  <si>
    <t>Power</t>
  </si>
  <si>
    <t>Data</t>
  </si>
  <si>
    <t>Query</t>
  </si>
  <si>
    <t>Model</t>
  </si>
  <si>
    <t>DAX</t>
  </si>
  <si>
    <t>Ctrl E</t>
  </si>
  <si>
    <t>on second row</t>
  </si>
  <si>
    <t>English</t>
  </si>
  <si>
    <t>Happy Thanksgiving</t>
  </si>
  <si>
    <t>I love my grandma</t>
  </si>
  <si>
    <t>=GOOGLETRANSLATE(B12,"en","fr")</t>
  </si>
  <si>
    <t>मैं अपनी दादी से प्यार करता हूं</t>
  </si>
  <si>
    <t>Hindi</t>
  </si>
  <si>
    <t>Review &gt;&gt; Translate</t>
  </si>
  <si>
    <t>Click te cell and then</t>
  </si>
  <si>
    <t xml:space="preserve">Enter </t>
  </si>
  <si>
    <t>Sumita Rai</t>
  </si>
  <si>
    <t>=SPLT(B21)</t>
  </si>
  <si>
    <t>Create a splt function using Visual Basic Code</t>
  </si>
  <si>
    <t>View Code &gt;&gt; Current Workbook &gt;&gt; Insert &gt;&gt; Module &gt;&gt;  Create a Function</t>
  </si>
  <si>
    <t>Prakash Rai</t>
  </si>
  <si>
    <t>Lisa Rai</t>
  </si>
  <si>
    <t>Mimi Rai</t>
  </si>
  <si>
    <t>Net Profit</t>
  </si>
  <si>
    <t>Total</t>
  </si>
  <si>
    <t>ATL =</t>
  </si>
  <si>
    <t>OrderDate</t>
  </si>
  <si>
    <t>Region</t>
  </si>
  <si>
    <t>Rep</t>
  </si>
  <si>
    <t>Item</t>
  </si>
  <si>
    <t>Units</t>
  </si>
  <si>
    <t>Unit Cost</t>
  </si>
  <si>
    <t>Central</t>
  </si>
  <si>
    <t>Kivell</t>
  </si>
  <si>
    <t>Binder</t>
  </si>
  <si>
    <t>Jardine</t>
  </si>
  <si>
    <t>Pencil</t>
  </si>
  <si>
    <t>Gill</t>
  </si>
  <si>
    <t>Pen</t>
  </si>
  <si>
    <t>Andrews</t>
  </si>
  <si>
    <t>Morgan</t>
  </si>
  <si>
    <t>Smith</t>
  </si>
  <si>
    <t>Desk</t>
  </si>
  <si>
    <t>Pen Set</t>
  </si>
  <si>
    <t>East</t>
  </si>
  <si>
    <t>Jones</t>
  </si>
  <si>
    <t>Howard</t>
  </si>
  <si>
    <t>Parent</t>
  </si>
  <si>
    <t>West</t>
  </si>
  <si>
    <t>Sorvino</t>
  </si>
  <si>
    <t>Thompson</t>
  </si>
  <si>
    <t>Row Labels</t>
  </si>
  <si>
    <t>Grand Total</t>
  </si>
  <si>
    <t>Sum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</si>
</sst>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/d/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28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0" fillId="2" borderId="1" xfId="0" applyFill="1" applyBorder="1"/>
    <xf numFmtId="0" fontId="0" fillId="0" borderId="0" xfId="0" applyAlignment="1">
      <alignment horizontal="right"/>
    </xf>
    <xf numFmtId="0" fontId="1" fillId="0" borderId="0" xfId="0" quotePrefix="1" applyFont="1"/>
    <xf numFmtId="0" fontId="0" fillId="0" borderId="1" xfId="0" quotePrefix="1" applyBorder="1"/>
    <xf numFmtId="0" fontId="3" fillId="0" borderId="0" xfId="0" quotePrefix="1" applyFont="1"/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16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43" fontId="0" fillId="0" borderId="0" xfId="1" applyFont="1" applyFill="1" applyBorder="1" applyAlignment="1" applyProtection="1">
      <alignment horizontal="left" vertical="center"/>
    </xf>
    <xf numFmtId="43" fontId="0" fillId="0" borderId="0" xfId="1" applyFont="1" applyFill="1" applyBorder="1" applyAlignment="1" applyProtection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1" fillId="0" borderId="0" xfId="0" applyNumberFormat="1" applyFont="1"/>
    <xf numFmtId="14" fontId="0" fillId="0" borderId="0" xfId="0" applyNumberFormat="1"/>
    <xf numFmtId="0" fontId="0" fillId="0" borderId="0" xfId="0" applyAlignment="1">
      <alignment horizontal="left" inden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311195</xdr:colOff>
      <xdr:row>19</xdr:row>
      <xdr:rowOff>571500</xdr:rowOff>
    </xdr:from>
    <xdr:to>
      <xdr:col>8</xdr:col>
      <xdr:colOff>475820</xdr:colOff>
      <xdr:row>33</xdr:row>
      <xdr:rowOff>37683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367C66-571B-4F21-988B-24DC2243C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78495" y="4371975"/>
          <a:ext cx="2603025" cy="2523708"/>
        </a:xfrm>
        <a:prstGeom prst="rect">
          <a:avLst/>
        </a:prstGeom>
      </xdr:spPr>
    </xdr:pic>
    <xdr:clientData/>
  </xdr:twoCellAnchor>
  <xdr:twoCellAnchor editAs="oneCell">
    <xdr:from>
      <xdr:col>8</xdr:col>
      <xdr:colOff>457200</xdr:colOff>
      <xdr:row>20</xdr:row>
      <xdr:rowOff>95475</xdr:rowOff>
    </xdr:from>
    <xdr:to>
      <xdr:col>17</xdr:col>
      <xdr:colOff>332264</xdr:colOff>
      <xdr:row>30</xdr:row>
      <xdr:rowOff>161517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406D03-34AD-4192-B8D3-4461FA0C1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62900" y="4476975"/>
          <a:ext cx="5361464" cy="197104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mita Rai" refreshedDate="45319.857356365741" createdVersion="8" refreshedVersion="8" minRefreshableVersion="3" recordCount="43" xr:uid="{759AC13F-F599-4D7C-8E63-B40550A91166}">
  <cacheSource type="worksheet">
    <worksheetSource ref="A1:G44" sheet="Sheet4"/>
  </cacheSource>
  <cacheFields count="7">
    <cacheField name="OrderDate" numFmtId="14">
      <sharedItems containsSemiMixedTypes="0" containsNonDate="0" containsDate="1" containsString="0" minDate="2021-01-06T00:00:00" maxDate="2022-12-22T00:00:00"/>
    </cacheField>
    <cacheField name="Region" numFmtId="0">
      <sharedItems count="3">
        <s v="Central"/>
        <s v="East"/>
        <s v="West"/>
      </sharedItems>
    </cacheField>
    <cacheField name="Rep" numFmtId="0">
      <sharedItems count="11">
        <s v="Kivell"/>
        <s v="Jardine"/>
        <s v="Gill"/>
        <s v="Andrews"/>
        <s v="Morgan"/>
        <s v="Smith"/>
        <s v="Jones"/>
        <s v="Howard"/>
        <s v="Parent"/>
        <s v="Sorvino"/>
        <s v="Thompson"/>
      </sharedItems>
    </cacheField>
    <cacheField name="Item" numFmtId="0">
      <sharedItems/>
    </cacheField>
    <cacheField name="Units" numFmtId="0">
      <sharedItems containsSemiMixedTypes="0" containsString="0" containsNumber="1" containsInteger="1" minValue="3" maxValue="96"/>
    </cacheField>
    <cacheField name="Unit Cost" numFmtId="0">
      <sharedItems containsSemiMixedTypes="0" containsString="0" containsNumber="1" minValue="1.29" maxValue="275"/>
    </cacheField>
    <cacheField name="Total" numFmtId="0">
      <sharedItems containsSemiMixedTypes="0" containsString="0" containsNumber="1" minValue="9.0300000000000011" maxValue="1879.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d v="2021-01-23T00:00:00"/>
    <x v="0"/>
    <x v="0"/>
    <s v="Binder"/>
    <n v="50"/>
    <n v="19.989999999999998"/>
    <n v="999.49999999999989"/>
  </r>
  <r>
    <d v="2021-02-09T00:00:00"/>
    <x v="0"/>
    <x v="1"/>
    <s v="Pencil"/>
    <n v="40"/>
    <n v="4.99"/>
    <n v="199.60000000000002"/>
  </r>
  <r>
    <d v="2021-02-26T00:00:00"/>
    <x v="0"/>
    <x v="2"/>
    <s v="Pen"/>
    <n v="27"/>
    <n v="19.989999999999998"/>
    <n v="539.7299999999999"/>
  </r>
  <r>
    <d v="2021-04-18T00:00:00"/>
    <x v="0"/>
    <x v="3"/>
    <s v="Pencil"/>
    <n v="75"/>
    <n v="1.99"/>
    <n v="149.25"/>
  </r>
  <r>
    <d v="2021-05-05T00:00:00"/>
    <x v="0"/>
    <x v="1"/>
    <s v="Pencil"/>
    <n v="90"/>
    <n v="4.99"/>
    <n v="449.1"/>
  </r>
  <r>
    <d v="2021-06-25T00:00:00"/>
    <x v="0"/>
    <x v="4"/>
    <s v="Pencil"/>
    <n v="90"/>
    <n v="4.99"/>
    <n v="449.1"/>
  </r>
  <r>
    <d v="2021-09-01T00:00:00"/>
    <x v="0"/>
    <x v="5"/>
    <s v="Desk"/>
    <n v="4"/>
    <n v="200"/>
    <n v="800"/>
  </r>
  <r>
    <d v="2021-10-05T00:00:00"/>
    <x v="0"/>
    <x v="4"/>
    <s v="Binder"/>
    <n v="28"/>
    <n v="8.99"/>
    <n v="251.72"/>
  </r>
  <r>
    <d v="2021-11-25T00:00:00"/>
    <x v="0"/>
    <x v="0"/>
    <s v="Pen Set"/>
    <n v="96"/>
    <n v="4.99"/>
    <n v="479.04"/>
  </r>
  <r>
    <d v="2021-12-12T00:00:00"/>
    <x v="0"/>
    <x v="5"/>
    <s v="Pencil"/>
    <n v="67"/>
    <n v="1.29"/>
    <n v="86.43"/>
  </r>
  <r>
    <d v="2022-01-15T00:00:00"/>
    <x v="0"/>
    <x v="2"/>
    <s v="Binder"/>
    <n v="46"/>
    <n v="8.99"/>
    <n v="413.54"/>
  </r>
  <r>
    <d v="2022-02-01T00:00:00"/>
    <x v="0"/>
    <x v="5"/>
    <s v="Binder"/>
    <n v="87"/>
    <n v="15"/>
    <n v="1305"/>
  </r>
  <r>
    <d v="2022-03-24T00:00:00"/>
    <x v="0"/>
    <x v="1"/>
    <s v="Pen Set"/>
    <n v="50"/>
    <n v="4.99"/>
    <n v="249.5"/>
  </r>
  <r>
    <d v="2022-04-10T00:00:00"/>
    <x v="0"/>
    <x v="3"/>
    <s v="Pencil"/>
    <n v="66"/>
    <n v="1.99"/>
    <n v="131.34"/>
  </r>
  <r>
    <d v="2022-05-14T00:00:00"/>
    <x v="0"/>
    <x v="2"/>
    <s v="Pencil"/>
    <n v="53"/>
    <n v="1.29"/>
    <n v="68.37"/>
  </r>
  <r>
    <d v="2022-05-31T00:00:00"/>
    <x v="0"/>
    <x v="2"/>
    <s v="Binder"/>
    <n v="80"/>
    <n v="8.99"/>
    <n v="719.2"/>
  </r>
  <r>
    <d v="2022-06-17T00:00:00"/>
    <x v="0"/>
    <x v="0"/>
    <s v="Desk"/>
    <n v="5"/>
    <n v="125"/>
    <n v="625"/>
  </r>
  <r>
    <d v="2022-07-21T00:00:00"/>
    <x v="0"/>
    <x v="4"/>
    <s v="Pen Set"/>
    <n v="55"/>
    <n v="12.49"/>
    <n v="686.95"/>
  </r>
  <r>
    <d v="2022-08-07T00:00:00"/>
    <x v="0"/>
    <x v="0"/>
    <s v="Pen Set"/>
    <n v="42"/>
    <n v="23.95"/>
    <n v="1005.9"/>
  </r>
  <r>
    <d v="2022-09-10T00:00:00"/>
    <x v="0"/>
    <x v="2"/>
    <s v="Pencil"/>
    <n v="7"/>
    <n v="1.29"/>
    <n v="9.0300000000000011"/>
  </r>
  <r>
    <d v="2022-10-31T00:00:00"/>
    <x v="0"/>
    <x v="3"/>
    <s v="Pencil"/>
    <n v="14"/>
    <n v="1.29"/>
    <n v="18.060000000000002"/>
  </r>
  <r>
    <d v="2022-11-17T00:00:00"/>
    <x v="0"/>
    <x v="1"/>
    <s v="Binder"/>
    <n v="11"/>
    <n v="4.99"/>
    <n v="54.89"/>
  </r>
  <r>
    <d v="2022-12-04T00:00:00"/>
    <x v="0"/>
    <x v="1"/>
    <s v="Binder"/>
    <n v="94"/>
    <n v="19.989999999999998"/>
    <n v="1879.06"/>
  </r>
  <r>
    <d v="2022-12-21T00:00:00"/>
    <x v="0"/>
    <x v="3"/>
    <s v="Binder"/>
    <n v="28"/>
    <n v="4.99"/>
    <n v="139.72"/>
  </r>
  <r>
    <d v="2021-01-06T00:00:00"/>
    <x v="1"/>
    <x v="6"/>
    <s v="Pencil"/>
    <n v="95"/>
    <n v="1.99"/>
    <n v="189.05"/>
  </r>
  <r>
    <d v="2021-04-01T00:00:00"/>
    <x v="1"/>
    <x v="6"/>
    <s v="Binder"/>
    <n v="60"/>
    <n v="4.99"/>
    <n v="299.40000000000003"/>
  </r>
  <r>
    <d v="2021-06-08T00:00:00"/>
    <x v="1"/>
    <x v="6"/>
    <s v="Binder"/>
    <n v="60"/>
    <n v="8.99"/>
    <n v="539.4"/>
  </r>
  <r>
    <d v="2021-07-12T00:00:00"/>
    <x v="1"/>
    <x v="7"/>
    <s v="Binder"/>
    <n v="29"/>
    <n v="1.99"/>
    <n v="57.71"/>
  </r>
  <r>
    <d v="2021-07-29T00:00:00"/>
    <x v="1"/>
    <x v="8"/>
    <s v="Binder"/>
    <n v="81"/>
    <n v="19.989999999999998"/>
    <n v="1619.1899999999998"/>
  </r>
  <r>
    <d v="2021-08-15T00:00:00"/>
    <x v="1"/>
    <x v="6"/>
    <s v="Pencil"/>
    <n v="35"/>
    <n v="4.99"/>
    <n v="174.65"/>
  </r>
  <r>
    <d v="2021-09-18T00:00:00"/>
    <x v="1"/>
    <x v="6"/>
    <s v="Pen Set"/>
    <n v="16"/>
    <n v="15.99"/>
    <n v="255.84"/>
  </r>
  <r>
    <d v="2021-10-22T00:00:00"/>
    <x v="1"/>
    <x v="6"/>
    <s v="Pen"/>
    <n v="64"/>
    <n v="8.99"/>
    <n v="575.36"/>
  </r>
  <r>
    <d v="2021-11-08T00:00:00"/>
    <x v="1"/>
    <x v="8"/>
    <s v="Pen"/>
    <n v="15"/>
    <n v="19.989999999999998"/>
    <n v="299.84999999999997"/>
  </r>
  <r>
    <d v="2021-12-29T00:00:00"/>
    <x v="1"/>
    <x v="8"/>
    <s v="Pen Set"/>
    <n v="74"/>
    <n v="15.99"/>
    <n v="1183.26"/>
  </r>
  <r>
    <d v="2022-02-18T00:00:00"/>
    <x v="1"/>
    <x v="6"/>
    <s v="Binder"/>
    <n v="5"/>
    <n v="6"/>
    <n v="30"/>
  </r>
  <r>
    <d v="2022-04-27T00:00:00"/>
    <x v="1"/>
    <x v="7"/>
    <s v="Pen"/>
    <n v="96"/>
    <n v="4.99"/>
    <n v="479.04"/>
  </r>
  <r>
    <d v="2022-07-04T00:00:00"/>
    <x v="1"/>
    <x v="6"/>
    <s v="Pen Set"/>
    <n v="62"/>
    <n v="4.99"/>
    <n v="309.38"/>
  </r>
  <r>
    <d v="2021-03-15T00:00:00"/>
    <x v="2"/>
    <x v="9"/>
    <s v="Pencil"/>
    <n v="56"/>
    <n v="2.99"/>
    <n v="167.44"/>
  </r>
  <r>
    <d v="2021-05-22T00:00:00"/>
    <x v="2"/>
    <x v="10"/>
    <s v="Pencil"/>
    <n v="32"/>
    <n v="1.99"/>
    <n v="63.68"/>
  </r>
  <r>
    <d v="2022-03-07T00:00:00"/>
    <x v="2"/>
    <x v="9"/>
    <s v="Binder"/>
    <n v="7"/>
    <n v="19.989999999999998"/>
    <n v="139.92999999999998"/>
  </r>
  <r>
    <d v="2022-08-24T00:00:00"/>
    <x v="2"/>
    <x v="9"/>
    <s v="Desk"/>
    <n v="3"/>
    <n v="275"/>
    <n v="825"/>
  </r>
  <r>
    <d v="2022-09-27T00:00:00"/>
    <x v="2"/>
    <x v="9"/>
    <s v="Pen"/>
    <n v="76"/>
    <n v="1.99"/>
    <n v="151.24"/>
  </r>
  <r>
    <d v="2022-10-14T00:00:00"/>
    <x v="2"/>
    <x v="10"/>
    <s v="Binder"/>
    <n v="57"/>
    <n v="19.989999999999998"/>
    <n v="1139.4299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5CF358-A0F0-45FF-A3BA-50129F1F5789}" name="PivotTable4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1:J16" firstHeaderRow="1" firstDataRow="1" firstDataCol="1"/>
  <pivotFields count="7">
    <pivotField numFmtId="14" showAll="0"/>
    <pivotField axis="axisRow" showAll="0">
      <items count="4">
        <item x="0"/>
        <item x="1"/>
        <item x="2"/>
        <item t="default"/>
      </items>
    </pivotField>
    <pivotField axis="axisRow" showAll="0">
      <items count="12">
        <item x="3"/>
        <item x="2"/>
        <item x="7"/>
        <item x="1"/>
        <item x="6"/>
        <item x="0"/>
        <item x="4"/>
        <item x="8"/>
        <item x="5"/>
        <item x="9"/>
        <item x="10"/>
        <item t="default"/>
      </items>
    </pivotField>
    <pivotField showAll="0"/>
    <pivotField showAll="0"/>
    <pivotField showAll="0"/>
    <pivotField dataField="1" showAll="0"/>
  </pivotFields>
  <rowFields count="2">
    <field x="1"/>
    <field x="2"/>
  </rowFields>
  <rowItems count="15">
    <i>
      <x/>
    </i>
    <i r="1">
      <x/>
    </i>
    <i r="1">
      <x v="1"/>
    </i>
    <i r="1">
      <x v="3"/>
    </i>
    <i r="1">
      <x v="5"/>
    </i>
    <i r="1">
      <x v="6"/>
    </i>
    <i r="1">
      <x v="8"/>
    </i>
    <i>
      <x v="1"/>
    </i>
    <i r="1">
      <x v="2"/>
    </i>
    <i r="1">
      <x v="4"/>
    </i>
    <i r="1">
      <x v="7"/>
    </i>
    <i>
      <x v="2"/>
    </i>
    <i r="1">
      <x v="9"/>
    </i>
    <i r="1">
      <x v="10"/>
    </i>
    <i t="grand">
      <x/>
    </i>
  </rowItems>
  <colItems count="1">
    <i/>
  </colItems>
  <dataFields count="1">
    <dataField name="Sum of 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B40BF8-B3E9-470D-A19E-E690053B0609}" name="Table1" displayName="Table1" ref="A1:G44" totalsRowShown="0">
  <sortState xmlns:xlrd2="http://schemas.microsoft.com/office/spreadsheetml/2017/richdata2" ref="A2:G44">
    <sortCondition ref="B1:B44"/>
  </sortState>
  <tableColumns count="7">
    <tableColumn id="1" xr3:uid="{D9019A33-B274-4E52-91DF-C7E35DA1A968}" name="OrderDate"/>
    <tableColumn id="2" xr3:uid="{83EE5EAC-290B-49C6-807A-FDA78ADDEB4B}" name="Region"/>
    <tableColumn id="3" xr3:uid="{992C1B99-6098-4964-A82C-B7F86AF8FBEE}" name="Rep"/>
    <tableColumn id="4" xr3:uid="{078ACB0D-E25A-4D58-89CA-582F01AA4897}" name="Item"/>
    <tableColumn id="5" xr3:uid="{14DA48C2-9358-4227-91BB-9FC7F591EE00}" name="Units"/>
    <tableColumn id="6" xr3:uid="{27FB1D62-D8C7-44DF-B502-4FB85F29A44C}" name="Unit Cost"/>
    <tableColumn id="7" xr3:uid="{674B7677-3027-480C-97F3-377F85A12DF7}" name="Tot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8"/>
  <sheetViews>
    <sheetView workbookViewId="0">
      <selection activeCell="C26" sqref="C26"/>
    </sheetView>
  </sheetViews>
  <sheetFormatPr defaultRowHeight="15" x14ac:dyDescent="0.25"/>
  <cols>
    <col min="2" max="2" width="26.5703125" bestFit="1" customWidth="1"/>
    <col min="3" max="3" width="39.28515625" bestFit="1" customWidth="1"/>
  </cols>
  <sheetData>
    <row r="2" spans="2:3" x14ac:dyDescent="0.25">
      <c r="B2" s="10" t="s">
        <v>0</v>
      </c>
      <c r="C2" s="10"/>
    </row>
    <row r="3" spans="2:3" x14ac:dyDescent="0.25">
      <c r="B3" s="1" t="s">
        <v>1</v>
      </c>
      <c r="C3" s="1" t="s">
        <v>2</v>
      </c>
    </row>
    <row r="4" spans="2:3" x14ac:dyDescent="0.25">
      <c r="B4" s="1" t="s">
        <v>3</v>
      </c>
      <c r="C4" s="1" t="s">
        <v>4</v>
      </c>
    </row>
    <row r="5" spans="2:3" x14ac:dyDescent="0.25">
      <c r="B5" s="1" t="s">
        <v>5</v>
      </c>
      <c r="C5" s="1" t="s">
        <v>6</v>
      </c>
    </row>
    <row r="6" spans="2:3" x14ac:dyDescent="0.25">
      <c r="B6" s="1" t="s">
        <v>7</v>
      </c>
      <c r="C6" s="1" t="s">
        <v>8</v>
      </c>
    </row>
    <row r="8" spans="2:3" x14ac:dyDescent="0.25">
      <c r="B8" t="s">
        <v>9</v>
      </c>
      <c r="C8" t="s">
        <v>10</v>
      </c>
    </row>
  </sheetData>
  <dataConsolidate/>
  <mergeCells count="1">
    <mergeCell ref="B2:C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628A2-153A-4AB8-96CC-38E01D495AC2}">
  <dimension ref="A1:K44"/>
  <sheetViews>
    <sheetView tabSelected="1" workbookViewId="0">
      <selection activeCell="M9" sqref="M9"/>
    </sheetView>
  </sheetViews>
  <sheetFormatPr defaultRowHeight="15" x14ac:dyDescent="0.25"/>
  <cols>
    <col min="1" max="1" width="10.7109375" style="26" bestFit="1" customWidth="1"/>
    <col min="2" max="2" width="7.42578125" bestFit="1" customWidth="1"/>
    <col min="3" max="3" width="10.28515625" bestFit="1" customWidth="1"/>
    <col min="4" max="4" width="7.7109375" bestFit="1" customWidth="1"/>
    <col min="5" max="5" width="5.7109375" bestFit="1" customWidth="1"/>
    <col min="7" max="7" width="8" bestFit="1" customWidth="1"/>
    <col min="9" max="9" width="14" bestFit="1" customWidth="1"/>
    <col min="10" max="10" width="12" bestFit="1" customWidth="1"/>
  </cols>
  <sheetData>
    <row r="1" spans="1:11" s="12" customFormat="1" x14ac:dyDescent="0.25">
      <c r="A1" s="25" t="s">
        <v>38</v>
      </c>
      <c r="B1" s="12" t="s">
        <v>39</v>
      </c>
      <c r="C1" s="12" t="s">
        <v>40</v>
      </c>
      <c r="D1" s="12" t="s">
        <v>41</v>
      </c>
      <c r="E1" s="12" t="s">
        <v>42</v>
      </c>
      <c r="F1" s="12" t="s">
        <v>43</v>
      </c>
      <c r="G1" s="12" t="s">
        <v>36</v>
      </c>
      <c r="I1" s="22" t="s">
        <v>63</v>
      </c>
      <c r="J1" t="s">
        <v>65</v>
      </c>
      <c r="K1"/>
    </row>
    <row r="2" spans="1:11" x14ac:dyDescent="0.25">
      <c r="A2" s="26">
        <v>44219</v>
      </c>
      <c r="B2" t="s">
        <v>44</v>
      </c>
      <c r="C2" t="s">
        <v>45</v>
      </c>
      <c r="D2" t="s">
        <v>46</v>
      </c>
      <c r="E2">
        <v>50</v>
      </c>
      <c r="F2">
        <v>19.989999999999998</v>
      </c>
      <c r="G2">
        <f>E2*F2</f>
        <v>999.49999999999989</v>
      </c>
      <c r="I2" s="23" t="s">
        <v>44</v>
      </c>
      <c r="J2" s="24">
        <v>11709.03</v>
      </c>
    </row>
    <row r="3" spans="1:11" x14ac:dyDescent="0.25">
      <c r="A3" s="26">
        <v>44236</v>
      </c>
      <c r="B3" t="s">
        <v>44</v>
      </c>
      <c r="C3" t="s">
        <v>47</v>
      </c>
      <c r="D3" t="s">
        <v>48</v>
      </c>
      <c r="E3">
        <v>40</v>
      </c>
      <c r="F3">
        <v>4.99</v>
      </c>
      <c r="G3">
        <f t="shared" ref="G3:G44" si="0">E3*F3</f>
        <v>199.60000000000002</v>
      </c>
      <c r="I3" s="27" t="s">
        <v>51</v>
      </c>
      <c r="J3" s="24">
        <v>438.37</v>
      </c>
    </row>
    <row r="4" spans="1:11" x14ac:dyDescent="0.25">
      <c r="A4" s="26">
        <v>44253</v>
      </c>
      <c r="B4" t="s">
        <v>44</v>
      </c>
      <c r="C4" t="s">
        <v>49</v>
      </c>
      <c r="D4" t="s">
        <v>50</v>
      </c>
      <c r="E4">
        <v>27</v>
      </c>
      <c r="F4">
        <v>19.989999999999998</v>
      </c>
      <c r="G4">
        <f t="shared" si="0"/>
        <v>539.7299999999999</v>
      </c>
      <c r="I4" s="27" t="s">
        <v>49</v>
      </c>
      <c r="J4" s="24">
        <v>1749.8700000000001</v>
      </c>
    </row>
    <row r="5" spans="1:11" x14ac:dyDescent="0.25">
      <c r="A5" s="26">
        <v>44304</v>
      </c>
      <c r="B5" t="s">
        <v>44</v>
      </c>
      <c r="C5" t="s">
        <v>51</v>
      </c>
      <c r="D5" t="s">
        <v>48</v>
      </c>
      <c r="E5">
        <v>75</v>
      </c>
      <c r="F5">
        <v>1.99</v>
      </c>
      <c r="G5">
        <f t="shared" si="0"/>
        <v>149.25</v>
      </c>
      <c r="I5" s="27" t="s">
        <v>47</v>
      </c>
      <c r="J5" s="24">
        <v>2832.15</v>
      </c>
    </row>
    <row r="6" spans="1:11" x14ac:dyDescent="0.25">
      <c r="A6" s="26">
        <v>44321</v>
      </c>
      <c r="B6" t="s">
        <v>44</v>
      </c>
      <c r="C6" t="s">
        <v>47</v>
      </c>
      <c r="D6" t="s">
        <v>48</v>
      </c>
      <c r="E6">
        <v>90</v>
      </c>
      <c r="F6">
        <v>4.99</v>
      </c>
      <c r="G6">
        <f t="shared" si="0"/>
        <v>449.1</v>
      </c>
      <c r="I6" s="27" t="s">
        <v>45</v>
      </c>
      <c r="J6" s="24">
        <v>3109.44</v>
      </c>
    </row>
    <row r="7" spans="1:11" x14ac:dyDescent="0.25">
      <c r="A7" s="26">
        <v>44372</v>
      </c>
      <c r="B7" t="s">
        <v>44</v>
      </c>
      <c r="C7" t="s">
        <v>52</v>
      </c>
      <c r="D7" t="s">
        <v>48</v>
      </c>
      <c r="E7">
        <v>90</v>
      </c>
      <c r="F7">
        <v>4.99</v>
      </c>
      <c r="G7">
        <f t="shared" si="0"/>
        <v>449.1</v>
      </c>
      <c r="I7" s="27" t="s">
        <v>52</v>
      </c>
      <c r="J7" s="24">
        <v>1387.77</v>
      </c>
    </row>
    <row r="8" spans="1:11" x14ac:dyDescent="0.25">
      <c r="A8" s="26">
        <v>44440</v>
      </c>
      <c r="B8" t="s">
        <v>44</v>
      </c>
      <c r="C8" t="s">
        <v>53</v>
      </c>
      <c r="D8" t="s">
        <v>54</v>
      </c>
      <c r="E8">
        <v>4</v>
      </c>
      <c r="F8">
        <v>200</v>
      </c>
      <c r="G8">
        <f t="shared" si="0"/>
        <v>800</v>
      </c>
      <c r="I8" s="27" t="s">
        <v>53</v>
      </c>
      <c r="J8" s="24">
        <v>2191.4300000000003</v>
      </c>
    </row>
    <row r="9" spans="1:11" x14ac:dyDescent="0.25">
      <c r="A9" s="26">
        <v>44474</v>
      </c>
      <c r="B9" t="s">
        <v>44</v>
      </c>
      <c r="C9" t="s">
        <v>52</v>
      </c>
      <c r="D9" t="s">
        <v>46</v>
      </c>
      <c r="E9">
        <v>28</v>
      </c>
      <c r="F9">
        <v>8.99</v>
      </c>
      <c r="G9">
        <f t="shared" si="0"/>
        <v>251.72</v>
      </c>
      <c r="I9" s="23" t="s">
        <v>56</v>
      </c>
      <c r="J9" s="24">
        <v>6012.1299999999992</v>
      </c>
    </row>
    <row r="10" spans="1:11" x14ac:dyDescent="0.25">
      <c r="A10" s="26">
        <v>44525</v>
      </c>
      <c r="B10" t="s">
        <v>44</v>
      </c>
      <c r="C10" t="s">
        <v>45</v>
      </c>
      <c r="D10" t="s">
        <v>55</v>
      </c>
      <c r="E10">
        <v>96</v>
      </c>
      <c r="F10">
        <v>4.99</v>
      </c>
      <c r="G10">
        <f t="shared" si="0"/>
        <v>479.04</v>
      </c>
      <c r="I10" s="27" t="s">
        <v>58</v>
      </c>
      <c r="J10" s="24">
        <v>536.75</v>
      </c>
    </row>
    <row r="11" spans="1:11" x14ac:dyDescent="0.25">
      <c r="A11" s="26">
        <v>44542</v>
      </c>
      <c r="B11" t="s">
        <v>44</v>
      </c>
      <c r="C11" t="s">
        <v>53</v>
      </c>
      <c r="D11" t="s">
        <v>48</v>
      </c>
      <c r="E11">
        <v>67</v>
      </c>
      <c r="F11">
        <v>1.29</v>
      </c>
      <c r="G11">
        <f t="shared" si="0"/>
        <v>86.43</v>
      </c>
      <c r="I11" s="27" t="s">
        <v>57</v>
      </c>
      <c r="J11" s="24">
        <v>2373.08</v>
      </c>
    </row>
    <row r="12" spans="1:11" x14ac:dyDescent="0.25">
      <c r="A12" s="26">
        <v>44576</v>
      </c>
      <c r="B12" t="s">
        <v>44</v>
      </c>
      <c r="C12" t="s">
        <v>49</v>
      </c>
      <c r="D12" t="s">
        <v>46</v>
      </c>
      <c r="E12">
        <v>46</v>
      </c>
      <c r="F12">
        <v>8.99</v>
      </c>
      <c r="G12">
        <f t="shared" si="0"/>
        <v>413.54</v>
      </c>
      <c r="I12" s="27" t="s">
        <v>59</v>
      </c>
      <c r="J12" s="24">
        <v>3102.2999999999997</v>
      </c>
    </row>
    <row r="13" spans="1:11" x14ac:dyDescent="0.25">
      <c r="A13" s="26">
        <v>44593</v>
      </c>
      <c r="B13" t="s">
        <v>44</v>
      </c>
      <c r="C13" t="s">
        <v>53</v>
      </c>
      <c r="D13" t="s">
        <v>46</v>
      </c>
      <c r="E13">
        <v>87</v>
      </c>
      <c r="F13">
        <v>15</v>
      </c>
      <c r="G13">
        <f t="shared" si="0"/>
        <v>1305</v>
      </c>
      <c r="I13" s="23" t="s">
        <v>60</v>
      </c>
      <c r="J13" s="24">
        <v>2486.7199999999998</v>
      </c>
    </row>
    <row r="14" spans="1:11" x14ac:dyDescent="0.25">
      <c r="A14" s="26">
        <v>44644</v>
      </c>
      <c r="B14" t="s">
        <v>44</v>
      </c>
      <c r="C14" t="s">
        <v>47</v>
      </c>
      <c r="D14" t="s">
        <v>55</v>
      </c>
      <c r="E14">
        <v>50</v>
      </c>
      <c r="F14">
        <v>4.99</v>
      </c>
      <c r="G14">
        <f t="shared" si="0"/>
        <v>249.5</v>
      </c>
      <c r="I14" s="27" t="s">
        <v>61</v>
      </c>
      <c r="J14" s="24">
        <v>1283.6099999999999</v>
      </c>
    </row>
    <row r="15" spans="1:11" x14ac:dyDescent="0.25">
      <c r="A15" s="26">
        <v>44661</v>
      </c>
      <c r="B15" t="s">
        <v>44</v>
      </c>
      <c r="C15" t="s">
        <v>51</v>
      </c>
      <c r="D15" t="s">
        <v>48</v>
      </c>
      <c r="E15">
        <v>66</v>
      </c>
      <c r="F15">
        <v>1.99</v>
      </c>
      <c r="G15">
        <f t="shared" si="0"/>
        <v>131.34</v>
      </c>
      <c r="I15" s="27" t="s">
        <v>62</v>
      </c>
      <c r="J15" s="24">
        <v>1203.1099999999999</v>
      </c>
    </row>
    <row r="16" spans="1:11" x14ac:dyDescent="0.25">
      <c r="A16" s="26">
        <v>44695</v>
      </c>
      <c r="B16" t="s">
        <v>44</v>
      </c>
      <c r="C16" t="s">
        <v>49</v>
      </c>
      <c r="D16" t="s">
        <v>48</v>
      </c>
      <c r="E16">
        <v>53</v>
      </c>
      <c r="F16">
        <v>1.29</v>
      </c>
      <c r="G16">
        <f t="shared" si="0"/>
        <v>68.37</v>
      </c>
      <c r="I16" s="23" t="s">
        <v>64</v>
      </c>
      <c r="J16" s="24">
        <v>20207.88</v>
      </c>
    </row>
    <row r="17" spans="1:7" x14ac:dyDescent="0.25">
      <c r="A17" s="26">
        <v>44712</v>
      </c>
      <c r="B17" t="s">
        <v>44</v>
      </c>
      <c r="C17" t="s">
        <v>49</v>
      </c>
      <c r="D17" t="s">
        <v>46</v>
      </c>
      <c r="E17">
        <v>80</v>
      </c>
      <c r="F17">
        <v>8.99</v>
      </c>
      <c r="G17">
        <f t="shared" si="0"/>
        <v>719.2</v>
      </c>
    </row>
    <row r="18" spans="1:7" x14ac:dyDescent="0.25">
      <c r="A18" s="26">
        <v>44729</v>
      </c>
      <c r="B18" t="s">
        <v>44</v>
      </c>
      <c r="C18" t="s">
        <v>45</v>
      </c>
      <c r="D18" t="s">
        <v>54</v>
      </c>
      <c r="E18">
        <v>5</v>
      </c>
      <c r="F18">
        <v>125</v>
      </c>
      <c r="G18">
        <f t="shared" si="0"/>
        <v>625</v>
      </c>
    </row>
    <row r="19" spans="1:7" x14ac:dyDescent="0.25">
      <c r="A19" s="26">
        <v>44763</v>
      </c>
      <c r="B19" t="s">
        <v>44</v>
      </c>
      <c r="C19" t="s">
        <v>52</v>
      </c>
      <c r="D19" t="s">
        <v>55</v>
      </c>
      <c r="E19">
        <v>55</v>
      </c>
      <c r="F19">
        <v>12.49</v>
      </c>
      <c r="G19">
        <f t="shared" si="0"/>
        <v>686.95</v>
      </c>
    </row>
    <row r="20" spans="1:7" x14ac:dyDescent="0.25">
      <c r="A20" s="26">
        <v>44780</v>
      </c>
      <c r="B20" t="s">
        <v>44</v>
      </c>
      <c r="C20" t="s">
        <v>45</v>
      </c>
      <c r="D20" t="s">
        <v>55</v>
      </c>
      <c r="E20">
        <v>42</v>
      </c>
      <c r="F20">
        <v>23.95</v>
      </c>
      <c r="G20">
        <f t="shared" si="0"/>
        <v>1005.9</v>
      </c>
    </row>
    <row r="21" spans="1:7" x14ac:dyDescent="0.25">
      <c r="A21" s="26">
        <v>44814</v>
      </c>
      <c r="B21" t="s">
        <v>44</v>
      </c>
      <c r="C21" t="s">
        <v>49</v>
      </c>
      <c r="D21" t="s">
        <v>48</v>
      </c>
      <c r="E21">
        <v>7</v>
      </c>
      <c r="F21">
        <v>1.29</v>
      </c>
      <c r="G21">
        <f t="shared" si="0"/>
        <v>9.0300000000000011</v>
      </c>
    </row>
    <row r="22" spans="1:7" x14ac:dyDescent="0.25">
      <c r="A22" s="26">
        <v>44865</v>
      </c>
      <c r="B22" t="s">
        <v>44</v>
      </c>
      <c r="C22" t="s">
        <v>51</v>
      </c>
      <c r="D22" t="s">
        <v>48</v>
      </c>
      <c r="E22">
        <v>14</v>
      </c>
      <c r="F22">
        <v>1.29</v>
      </c>
      <c r="G22">
        <f t="shared" si="0"/>
        <v>18.060000000000002</v>
      </c>
    </row>
    <row r="23" spans="1:7" x14ac:dyDescent="0.25">
      <c r="A23" s="26">
        <v>44882</v>
      </c>
      <c r="B23" t="s">
        <v>44</v>
      </c>
      <c r="C23" t="s">
        <v>47</v>
      </c>
      <c r="D23" t="s">
        <v>46</v>
      </c>
      <c r="E23">
        <v>11</v>
      </c>
      <c r="F23">
        <v>4.99</v>
      </c>
      <c r="G23">
        <f t="shared" si="0"/>
        <v>54.89</v>
      </c>
    </row>
    <row r="24" spans="1:7" x14ac:dyDescent="0.25">
      <c r="A24" s="26">
        <v>44899</v>
      </c>
      <c r="B24" t="s">
        <v>44</v>
      </c>
      <c r="C24" t="s">
        <v>47</v>
      </c>
      <c r="D24" t="s">
        <v>46</v>
      </c>
      <c r="E24">
        <v>94</v>
      </c>
      <c r="F24">
        <v>19.989999999999998</v>
      </c>
      <c r="G24">
        <f t="shared" si="0"/>
        <v>1879.06</v>
      </c>
    </row>
    <row r="25" spans="1:7" x14ac:dyDescent="0.25">
      <c r="A25" s="26">
        <v>44916</v>
      </c>
      <c r="B25" t="s">
        <v>44</v>
      </c>
      <c r="C25" t="s">
        <v>51</v>
      </c>
      <c r="D25" t="s">
        <v>46</v>
      </c>
      <c r="E25">
        <v>28</v>
      </c>
      <c r="F25">
        <v>4.99</v>
      </c>
      <c r="G25">
        <f t="shared" si="0"/>
        <v>139.72</v>
      </c>
    </row>
    <row r="26" spans="1:7" x14ac:dyDescent="0.25">
      <c r="A26" s="26">
        <v>44202</v>
      </c>
      <c r="B26" t="s">
        <v>56</v>
      </c>
      <c r="C26" t="s">
        <v>57</v>
      </c>
      <c r="D26" t="s">
        <v>48</v>
      </c>
      <c r="E26">
        <v>95</v>
      </c>
      <c r="F26">
        <v>1.99</v>
      </c>
      <c r="G26">
        <f t="shared" si="0"/>
        <v>189.05</v>
      </c>
    </row>
    <row r="27" spans="1:7" x14ac:dyDescent="0.25">
      <c r="A27" s="26">
        <v>44287</v>
      </c>
      <c r="B27" t="s">
        <v>56</v>
      </c>
      <c r="C27" t="s">
        <v>57</v>
      </c>
      <c r="D27" t="s">
        <v>46</v>
      </c>
      <c r="E27">
        <v>60</v>
      </c>
      <c r="F27">
        <v>4.99</v>
      </c>
      <c r="G27">
        <f t="shared" si="0"/>
        <v>299.40000000000003</v>
      </c>
    </row>
    <row r="28" spans="1:7" x14ac:dyDescent="0.25">
      <c r="A28" s="26">
        <v>44355</v>
      </c>
      <c r="B28" t="s">
        <v>56</v>
      </c>
      <c r="C28" t="s">
        <v>57</v>
      </c>
      <c r="D28" t="s">
        <v>46</v>
      </c>
      <c r="E28">
        <v>60</v>
      </c>
      <c r="F28">
        <v>8.99</v>
      </c>
      <c r="G28">
        <f t="shared" si="0"/>
        <v>539.4</v>
      </c>
    </row>
    <row r="29" spans="1:7" x14ac:dyDescent="0.25">
      <c r="A29" s="26">
        <v>44389</v>
      </c>
      <c r="B29" t="s">
        <v>56</v>
      </c>
      <c r="C29" t="s">
        <v>58</v>
      </c>
      <c r="D29" t="s">
        <v>46</v>
      </c>
      <c r="E29">
        <v>29</v>
      </c>
      <c r="F29">
        <v>1.99</v>
      </c>
      <c r="G29">
        <f t="shared" si="0"/>
        <v>57.71</v>
      </c>
    </row>
    <row r="30" spans="1:7" x14ac:dyDescent="0.25">
      <c r="A30" s="26">
        <v>44406</v>
      </c>
      <c r="B30" t="s">
        <v>56</v>
      </c>
      <c r="C30" t="s">
        <v>59</v>
      </c>
      <c r="D30" t="s">
        <v>46</v>
      </c>
      <c r="E30">
        <v>81</v>
      </c>
      <c r="F30">
        <v>19.989999999999998</v>
      </c>
      <c r="G30">
        <f t="shared" si="0"/>
        <v>1619.1899999999998</v>
      </c>
    </row>
    <row r="31" spans="1:7" x14ac:dyDescent="0.25">
      <c r="A31" s="26">
        <v>44423</v>
      </c>
      <c r="B31" t="s">
        <v>56</v>
      </c>
      <c r="C31" t="s">
        <v>57</v>
      </c>
      <c r="D31" t="s">
        <v>48</v>
      </c>
      <c r="E31">
        <v>35</v>
      </c>
      <c r="F31">
        <v>4.99</v>
      </c>
      <c r="G31">
        <f t="shared" si="0"/>
        <v>174.65</v>
      </c>
    </row>
    <row r="32" spans="1:7" x14ac:dyDescent="0.25">
      <c r="A32" s="26">
        <v>44457</v>
      </c>
      <c r="B32" t="s">
        <v>56</v>
      </c>
      <c r="C32" t="s">
        <v>57</v>
      </c>
      <c r="D32" t="s">
        <v>55</v>
      </c>
      <c r="E32">
        <v>16</v>
      </c>
      <c r="F32">
        <v>15.99</v>
      </c>
      <c r="G32">
        <f t="shared" si="0"/>
        <v>255.84</v>
      </c>
    </row>
    <row r="33" spans="1:7" x14ac:dyDescent="0.25">
      <c r="A33" s="26">
        <v>44491</v>
      </c>
      <c r="B33" t="s">
        <v>56</v>
      </c>
      <c r="C33" t="s">
        <v>57</v>
      </c>
      <c r="D33" t="s">
        <v>50</v>
      </c>
      <c r="E33">
        <v>64</v>
      </c>
      <c r="F33">
        <v>8.99</v>
      </c>
      <c r="G33">
        <f t="shared" si="0"/>
        <v>575.36</v>
      </c>
    </row>
    <row r="34" spans="1:7" x14ac:dyDescent="0.25">
      <c r="A34" s="26">
        <v>44508</v>
      </c>
      <c r="B34" t="s">
        <v>56</v>
      </c>
      <c r="C34" t="s">
        <v>59</v>
      </c>
      <c r="D34" t="s">
        <v>50</v>
      </c>
      <c r="E34">
        <v>15</v>
      </c>
      <c r="F34">
        <v>19.989999999999998</v>
      </c>
      <c r="G34">
        <f t="shared" si="0"/>
        <v>299.84999999999997</v>
      </c>
    </row>
    <row r="35" spans="1:7" x14ac:dyDescent="0.25">
      <c r="A35" s="26">
        <v>44559</v>
      </c>
      <c r="B35" t="s">
        <v>56</v>
      </c>
      <c r="C35" t="s">
        <v>59</v>
      </c>
      <c r="D35" t="s">
        <v>55</v>
      </c>
      <c r="E35">
        <v>74</v>
      </c>
      <c r="F35">
        <v>15.99</v>
      </c>
      <c r="G35">
        <f t="shared" si="0"/>
        <v>1183.26</v>
      </c>
    </row>
    <row r="36" spans="1:7" x14ac:dyDescent="0.25">
      <c r="A36" s="26">
        <v>44610</v>
      </c>
      <c r="B36" t="s">
        <v>56</v>
      </c>
      <c r="C36" t="s">
        <v>57</v>
      </c>
      <c r="D36" t="s">
        <v>46</v>
      </c>
      <c r="E36">
        <v>5</v>
      </c>
      <c r="F36">
        <v>6</v>
      </c>
      <c r="G36">
        <f t="shared" si="0"/>
        <v>30</v>
      </c>
    </row>
    <row r="37" spans="1:7" x14ac:dyDescent="0.25">
      <c r="A37" s="26">
        <v>44678</v>
      </c>
      <c r="B37" t="s">
        <v>56</v>
      </c>
      <c r="C37" t="s">
        <v>58</v>
      </c>
      <c r="D37" t="s">
        <v>50</v>
      </c>
      <c r="E37">
        <v>96</v>
      </c>
      <c r="F37">
        <v>4.99</v>
      </c>
      <c r="G37">
        <f t="shared" si="0"/>
        <v>479.04</v>
      </c>
    </row>
    <row r="38" spans="1:7" x14ac:dyDescent="0.25">
      <c r="A38" s="26">
        <v>44746</v>
      </c>
      <c r="B38" t="s">
        <v>56</v>
      </c>
      <c r="C38" t="s">
        <v>57</v>
      </c>
      <c r="D38" t="s">
        <v>55</v>
      </c>
      <c r="E38">
        <v>62</v>
      </c>
      <c r="F38">
        <v>4.99</v>
      </c>
      <c r="G38">
        <f t="shared" si="0"/>
        <v>309.38</v>
      </c>
    </row>
    <row r="39" spans="1:7" x14ac:dyDescent="0.25">
      <c r="A39" s="26">
        <v>44270</v>
      </c>
      <c r="B39" t="s">
        <v>60</v>
      </c>
      <c r="C39" t="s">
        <v>61</v>
      </c>
      <c r="D39" t="s">
        <v>48</v>
      </c>
      <c r="E39">
        <v>56</v>
      </c>
      <c r="F39">
        <v>2.99</v>
      </c>
      <c r="G39">
        <f t="shared" si="0"/>
        <v>167.44</v>
      </c>
    </row>
    <row r="40" spans="1:7" x14ac:dyDescent="0.25">
      <c r="A40" s="26">
        <v>44338</v>
      </c>
      <c r="B40" t="s">
        <v>60</v>
      </c>
      <c r="C40" t="s">
        <v>62</v>
      </c>
      <c r="D40" t="s">
        <v>48</v>
      </c>
      <c r="E40">
        <v>32</v>
      </c>
      <c r="F40">
        <v>1.99</v>
      </c>
      <c r="G40">
        <f t="shared" si="0"/>
        <v>63.68</v>
      </c>
    </row>
    <row r="41" spans="1:7" x14ac:dyDescent="0.25">
      <c r="A41" s="26">
        <v>44627</v>
      </c>
      <c r="B41" t="s">
        <v>60</v>
      </c>
      <c r="C41" t="s">
        <v>61</v>
      </c>
      <c r="D41" t="s">
        <v>46</v>
      </c>
      <c r="E41">
        <v>7</v>
      </c>
      <c r="F41">
        <v>19.989999999999998</v>
      </c>
      <c r="G41">
        <f t="shared" si="0"/>
        <v>139.92999999999998</v>
      </c>
    </row>
    <row r="42" spans="1:7" x14ac:dyDescent="0.25">
      <c r="A42" s="26">
        <v>44797</v>
      </c>
      <c r="B42" t="s">
        <v>60</v>
      </c>
      <c r="C42" t="s">
        <v>61</v>
      </c>
      <c r="D42" t="s">
        <v>54</v>
      </c>
      <c r="E42">
        <v>3</v>
      </c>
      <c r="F42">
        <v>275</v>
      </c>
      <c r="G42">
        <f t="shared" si="0"/>
        <v>825</v>
      </c>
    </row>
    <row r="43" spans="1:7" x14ac:dyDescent="0.25">
      <c r="A43" s="26">
        <v>44831</v>
      </c>
      <c r="B43" t="s">
        <v>60</v>
      </c>
      <c r="C43" t="s">
        <v>61</v>
      </c>
      <c r="D43" t="s">
        <v>50</v>
      </c>
      <c r="E43">
        <v>76</v>
      </c>
      <c r="F43">
        <v>1.99</v>
      </c>
      <c r="G43">
        <f t="shared" si="0"/>
        <v>151.24</v>
      </c>
    </row>
    <row r="44" spans="1:7" x14ac:dyDescent="0.25">
      <c r="A44" s="26">
        <v>44848</v>
      </c>
      <c r="B44" t="s">
        <v>60</v>
      </c>
      <c r="C44" t="s">
        <v>62</v>
      </c>
      <c r="D44" t="s">
        <v>46</v>
      </c>
      <c r="E44">
        <v>57</v>
      </c>
      <c r="F44">
        <v>19.989999999999998</v>
      </c>
      <c r="G44">
        <f t="shared" si="0"/>
        <v>1139.4299999999998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588C3-B5ED-4D3E-989B-C5C1AC4FF9B5}">
  <sheetPr codeName="Sheet2"/>
  <dimension ref="A1:S42"/>
  <sheetViews>
    <sheetView topLeftCell="A4" zoomScale="130" zoomScaleNormal="130" workbookViewId="0">
      <selection activeCell="B49" sqref="B49"/>
    </sheetView>
  </sheetViews>
  <sheetFormatPr defaultRowHeight="15" x14ac:dyDescent="0.25"/>
  <cols>
    <col min="2" max="3" width="26.42578125" customWidth="1"/>
    <col min="4" max="4" width="14" bestFit="1" customWidth="1"/>
  </cols>
  <sheetData>
    <row r="1" spans="1:4" ht="25.5" customHeight="1" x14ac:dyDescent="0.3">
      <c r="A1">
        <v>1</v>
      </c>
      <c r="B1" s="5" t="s">
        <v>27</v>
      </c>
      <c r="C1" s="2" t="s">
        <v>17</v>
      </c>
      <c r="D1" t="s">
        <v>18</v>
      </c>
    </row>
    <row r="2" spans="1:4" x14ac:dyDescent="0.25">
      <c r="B2" s="4" t="s">
        <v>1</v>
      </c>
      <c r="C2" s="3" t="s">
        <v>11</v>
      </c>
      <c r="D2" s="3" t="s">
        <v>13</v>
      </c>
    </row>
    <row r="3" spans="1:4" x14ac:dyDescent="0.25">
      <c r="B3" s="1" t="s">
        <v>3</v>
      </c>
      <c r="C3" t="s">
        <v>12</v>
      </c>
      <c r="D3" t="s">
        <v>14</v>
      </c>
    </row>
    <row r="4" spans="1:4" x14ac:dyDescent="0.25">
      <c r="B4" s="1" t="s">
        <v>5</v>
      </c>
      <c r="C4" t="s">
        <v>13</v>
      </c>
      <c r="D4" t="s">
        <v>15</v>
      </c>
    </row>
    <row r="5" spans="1:4" x14ac:dyDescent="0.25">
      <c r="B5" s="1" t="s">
        <v>7</v>
      </c>
      <c r="C5" t="s">
        <v>12</v>
      </c>
      <c r="D5" t="s">
        <v>16</v>
      </c>
    </row>
    <row r="9" spans="1:4" ht="18.75" x14ac:dyDescent="0.3">
      <c r="A9">
        <v>2</v>
      </c>
      <c r="B9" t="s">
        <v>26</v>
      </c>
      <c r="C9" s="2" t="s">
        <v>25</v>
      </c>
    </row>
    <row r="10" spans="1:4" x14ac:dyDescent="0.25">
      <c r="B10" s="1" t="s">
        <v>19</v>
      </c>
      <c r="C10" s="1" t="s">
        <v>24</v>
      </c>
    </row>
    <row r="11" spans="1:4" x14ac:dyDescent="0.25">
      <c r="B11" s="1" t="s">
        <v>20</v>
      </c>
      <c r="C11" s="7"/>
    </row>
    <row r="12" spans="1:4" x14ac:dyDescent="0.25">
      <c r="B12" s="1" t="s">
        <v>21</v>
      </c>
      <c r="C12" s="1" t="s">
        <v>23</v>
      </c>
    </row>
    <row r="13" spans="1:4" x14ac:dyDescent="0.25">
      <c r="B13" s="1"/>
      <c r="C13" s="1"/>
    </row>
    <row r="14" spans="1:4" x14ac:dyDescent="0.25">
      <c r="B14" s="1"/>
      <c r="C14" s="1"/>
    </row>
    <row r="15" spans="1:4" x14ac:dyDescent="0.25">
      <c r="B15" s="1"/>
      <c r="C15" s="1"/>
    </row>
    <row r="16" spans="1:4" x14ac:dyDescent="0.25">
      <c r="B16" s="1"/>
      <c r="C16" s="1"/>
    </row>
    <row r="17" spans="1:19" x14ac:dyDescent="0.25">
      <c r="C17" s="6" t="s">
        <v>22</v>
      </c>
    </row>
    <row r="20" spans="1:19" ht="45.75" customHeight="1" x14ac:dyDescent="0.35">
      <c r="A20">
        <v>3</v>
      </c>
      <c r="B20" s="9" t="s">
        <v>30</v>
      </c>
      <c r="C20" s="8" t="s">
        <v>29</v>
      </c>
      <c r="F20" s="11" t="s">
        <v>31</v>
      </c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1:19" x14ac:dyDescent="0.25">
      <c r="B21" t="s">
        <v>28</v>
      </c>
      <c r="C21" t="str" cm="1">
        <f t="array" ref="C21:D21">splt(B21)</f>
        <v>Sumita</v>
      </c>
      <c r="D21" t="str">
        <v>Rai</v>
      </c>
    </row>
    <row r="22" spans="1:19" x14ac:dyDescent="0.25">
      <c r="B22" t="s">
        <v>32</v>
      </c>
      <c r="C22" t="str" cm="1">
        <f t="array" ref="C22:D22">splt(B22)</f>
        <v>Prakash</v>
      </c>
      <c r="D22" t="str">
        <v>Rai</v>
      </c>
    </row>
    <row r="23" spans="1:19" x14ac:dyDescent="0.25">
      <c r="B23" t="s">
        <v>33</v>
      </c>
      <c r="C23" t="str" cm="1">
        <f t="array" ref="C23:D23">splt(B23)</f>
        <v>Lisa</v>
      </c>
      <c r="D23" t="str">
        <v>Rai</v>
      </c>
    </row>
    <row r="24" spans="1:19" x14ac:dyDescent="0.25">
      <c r="B24" t="s">
        <v>34</v>
      </c>
      <c r="C24" t="str" cm="1">
        <f t="array" ref="C24:D24">splt(B24)</f>
        <v>Mimi</v>
      </c>
      <c r="D24" t="str">
        <v>Rai</v>
      </c>
    </row>
    <row r="37" spans="1:4" x14ac:dyDescent="0.25">
      <c r="D37" t="s">
        <v>35</v>
      </c>
    </row>
    <row r="38" spans="1:4" x14ac:dyDescent="0.25">
      <c r="B38">
        <v>523</v>
      </c>
      <c r="C38">
        <v>235</v>
      </c>
      <c r="D38">
        <f>B38-C38</f>
        <v>288</v>
      </c>
    </row>
    <row r="39" spans="1:4" x14ac:dyDescent="0.25">
      <c r="B39">
        <v>256</v>
      </c>
      <c r="C39">
        <v>582</v>
      </c>
      <c r="D39">
        <f t="shared" ref="D39:D41" si="0">B39-C39</f>
        <v>-326</v>
      </c>
    </row>
    <row r="40" spans="1:4" x14ac:dyDescent="0.25">
      <c r="B40">
        <v>100</v>
      </c>
      <c r="C40">
        <v>124</v>
      </c>
      <c r="D40">
        <f t="shared" si="0"/>
        <v>-24</v>
      </c>
    </row>
    <row r="41" spans="1:4" x14ac:dyDescent="0.25">
      <c r="B41">
        <v>250</v>
      </c>
      <c r="C41">
        <v>352</v>
      </c>
      <c r="D41">
        <f t="shared" si="0"/>
        <v>-102</v>
      </c>
    </row>
    <row r="42" spans="1:4" x14ac:dyDescent="0.25">
      <c r="A42" s="12" t="s">
        <v>37</v>
      </c>
      <c r="B42" s="3">
        <f>SUM(B38:B41)</f>
        <v>1129</v>
      </c>
    </row>
  </sheetData>
  <mergeCells count="1">
    <mergeCell ref="F20:S20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B32A5-137D-413E-A909-6A8824A0141A}">
  <dimension ref="A1:L44"/>
  <sheetViews>
    <sheetView workbookViewId="0">
      <selection activeCell="G44" sqref="A1:G44"/>
    </sheetView>
  </sheetViews>
  <sheetFormatPr defaultRowHeight="15" x14ac:dyDescent="0.25"/>
  <cols>
    <col min="1" max="1" width="14.85546875" bestFit="1" customWidth="1"/>
    <col min="2" max="2" width="9.42578125" bestFit="1" customWidth="1"/>
    <col min="3" max="3" width="10.28515625" bestFit="1" customWidth="1"/>
    <col min="4" max="4" width="7.7109375" bestFit="1" customWidth="1"/>
    <col min="5" max="5" width="8" bestFit="1" customWidth="1"/>
    <col min="6" max="6" width="11.42578125" bestFit="1" customWidth="1"/>
    <col min="7" max="7" width="9.5703125" bestFit="1" customWidth="1"/>
  </cols>
  <sheetData>
    <row r="1" spans="1:12" x14ac:dyDescent="0.25">
      <c r="A1" s="13" t="s">
        <v>38</v>
      </c>
      <c r="B1" s="14" t="s">
        <v>39</v>
      </c>
      <c r="C1" s="14" t="s">
        <v>40</v>
      </c>
      <c r="D1" s="15" t="s">
        <v>41</v>
      </c>
      <c r="E1" s="16" t="s">
        <v>42</v>
      </c>
      <c r="F1" s="15" t="s">
        <v>43</v>
      </c>
      <c r="G1" s="15" t="s">
        <v>36</v>
      </c>
    </row>
    <row r="2" spans="1:12" x14ac:dyDescent="0.25">
      <c r="A2" s="17">
        <v>44219</v>
      </c>
      <c r="B2" s="18" t="s">
        <v>44</v>
      </c>
      <c r="C2" s="18" t="s">
        <v>45</v>
      </c>
      <c r="D2" s="15" t="s">
        <v>46</v>
      </c>
      <c r="E2" s="19">
        <v>50</v>
      </c>
      <c r="F2" s="20">
        <v>19.989999999999998</v>
      </c>
      <c r="G2" s="21">
        <v>999.49999999999989</v>
      </c>
    </row>
    <row r="3" spans="1:12" x14ac:dyDescent="0.25">
      <c r="A3" s="17">
        <v>44236</v>
      </c>
      <c r="B3" s="18" t="s">
        <v>44</v>
      </c>
      <c r="C3" s="18" t="s">
        <v>47</v>
      </c>
      <c r="D3" s="15" t="s">
        <v>48</v>
      </c>
      <c r="E3" s="19">
        <v>36</v>
      </c>
      <c r="F3" s="20">
        <v>4.99</v>
      </c>
      <c r="G3" s="21">
        <v>179.64000000000001</v>
      </c>
    </row>
    <row r="4" spans="1:12" x14ac:dyDescent="0.25">
      <c r="A4" s="17">
        <v>44253</v>
      </c>
      <c r="B4" s="18" t="s">
        <v>44</v>
      </c>
      <c r="C4" s="18" t="s">
        <v>49</v>
      </c>
      <c r="D4" s="15" t="s">
        <v>50</v>
      </c>
      <c r="E4" s="19">
        <v>27</v>
      </c>
      <c r="F4" s="20">
        <v>19.989999999999998</v>
      </c>
      <c r="G4" s="21">
        <v>539.7299999999999</v>
      </c>
      <c r="L4">
        <v>6002.09</v>
      </c>
    </row>
    <row r="5" spans="1:12" x14ac:dyDescent="0.25">
      <c r="A5" s="17">
        <v>44304</v>
      </c>
      <c r="B5" s="18" t="s">
        <v>44</v>
      </c>
      <c r="C5" s="18" t="s">
        <v>51</v>
      </c>
      <c r="D5" s="15" t="s">
        <v>48</v>
      </c>
      <c r="E5" s="19">
        <v>75</v>
      </c>
      <c r="F5" s="20">
        <v>1.99</v>
      </c>
      <c r="G5" s="21">
        <v>149.25</v>
      </c>
    </row>
    <row r="6" spans="1:12" x14ac:dyDescent="0.25">
      <c r="A6" s="17">
        <v>44321</v>
      </c>
      <c r="B6" s="18" t="s">
        <v>44</v>
      </c>
      <c r="C6" s="18" t="s">
        <v>47</v>
      </c>
      <c r="D6" s="15" t="s">
        <v>48</v>
      </c>
      <c r="E6" s="19">
        <v>90</v>
      </c>
      <c r="F6" s="20">
        <v>4.99</v>
      </c>
      <c r="G6" s="21">
        <v>449.1</v>
      </c>
    </row>
    <row r="7" spans="1:12" x14ac:dyDescent="0.25">
      <c r="A7" s="17">
        <v>44372</v>
      </c>
      <c r="B7" s="18" t="s">
        <v>44</v>
      </c>
      <c r="C7" s="18" t="s">
        <v>52</v>
      </c>
      <c r="D7" s="15" t="s">
        <v>48</v>
      </c>
      <c r="E7" s="19">
        <v>90</v>
      </c>
      <c r="F7" s="20">
        <v>4.99</v>
      </c>
      <c r="G7" s="21">
        <v>449.1</v>
      </c>
    </row>
    <row r="8" spans="1:12" x14ac:dyDescent="0.25">
      <c r="A8" s="17">
        <v>44440</v>
      </c>
      <c r="B8" s="18" t="s">
        <v>44</v>
      </c>
      <c r="C8" s="18" t="s">
        <v>53</v>
      </c>
      <c r="D8" s="15" t="s">
        <v>54</v>
      </c>
      <c r="E8" s="19">
        <v>3</v>
      </c>
      <c r="F8" s="20">
        <v>200</v>
      </c>
      <c r="G8" s="21">
        <v>600</v>
      </c>
    </row>
    <row r="9" spans="1:12" x14ac:dyDescent="0.25">
      <c r="A9" s="17">
        <v>44474</v>
      </c>
      <c r="B9" s="18" t="s">
        <v>44</v>
      </c>
      <c r="C9" s="18" t="s">
        <v>52</v>
      </c>
      <c r="D9" s="15" t="s">
        <v>46</v>
      </c>
      <c r="E9" s="19">
        <v>28</v>
      </c>
      <c r="F9" s="20">
        <v>8.99</v>
      </c>
      <c r="G9" s="21">
        <v>251.72</v>
      </c>
    </row>
    <row r="10" spans="1:12" x14ac:dyDescent="0.25">
      <c r="A10" s="17">
        <v>44525</v>
      </c>
      <c r="B10" s="18" t="s">
        <v>44</v>
      </c>
      <c r="C10" s="18" t="s">
        <v>45</v>
      </c>
      <c r="D10" s="15" t="s">
        <v>55</v>
      </c>
      <c r="E10" s="19">
        <v>96</v>
      </c>
      <c r="F10" s="20">
        <v>4.99</v>
      </c>
      <c r="G10" s="21">
        <v>479.04</v>
      </c>
    </row>
    <row r="11" spans="1:12" x14ac:dyDescent="0.25">
      <c r="A11" s="17">
        <v>44542</v>
      </c>
      <c r="B11" s="18" t="s">
        <v>44</v>
      </c>
      <c r="C11" s="18" t="s">
        <v>53</v>
      </c>
      <c r="D11" s="15" t="s">
        <v>48</v>
      </c>
      <c r="E11" s="19">
        <v>67</v>
      </c>
      <c r="F11" s="20">
        <v>1.29</v>
      </c>
      <c r="G11" s="21">
        <v>86.43</v>
      </c>
    </row>
    <row r="12" spans="1:12" x14ac:dyDescent="0.25">
      <c r="A12" s="17">
        <v>44576</v>
      </c>
      <c r="B12" s="18" t="s">
        <v>44</v>
      </c>
      <c r="C12" s="18" t="s">
        <v>49</v>
      </c>
      <c r="D12" s="15" t="s">
        <v>46</v>
      </c>
      <c r="E12" s="19">
        <v>46</v>
      </c>
      <c r="F12" s="20">
        <v>8.99</v>
      </c>
      <c r="G12" s="21">
        <v>413.54</v>
      </c>
    </row>
    <row r="13" spans="1:12" x14ac:dyDescent="0.25">
      <c r="A13" s="17">
        <v>44593</v>
      </c>
      <c r="B13" s="18" t="s">
        <v>44</v>
      </c>
      <c r="C13" s="18" t="s">
        <v>53</v>
      </c>
      <c r="D13" s="15" t="s">
        <v>46</v>
      </c>
      <c r="E13" s="19">
        <v>87</v>
      </c>
      <c r="F13" s="20">
        <v>15</v>
      </c>
      <c r="G13" s="21">
        <v>1305</v>
      </c>
    </row>
    <row r="14" spans="1:12" x14ac:dyDescent="0.25">
      <c r="A14" s="17">
        <v>44644</v>
      </c>
      <c r="B14" s="18" t="s">
        <v>44</v>
      </c>
      <c r="C14" s="18" t="s">
        <v>47</v>
      </c>
      <c r="D14" s="15" t="s">
        <v>55</v>
      </c>
      <c r="E14" s="19">
        <v>50</v>
      </c>
      <c r="F14" s="20">
        <v>4.99</v>
      </c>
      <c r="G14" s="21">
        <v>249.5</v>
      </c>
    </row>
    <row r="15" spans="1:12" x14ac:dyDescent="0.25">
      <c r="A15" s="17">
        <v>44661</v>
      </c>
      <c r="B15" s="18" t="s">
        <v>44</v>
      </c>
      <c r="C15" s="18" t="s">
        <v>51</v>
      </c>
      <c r="D15" s="15" t="s">
        <v>48</v>
      </c>
      <c r="E15" s="19">
        <v>66</v>
      </c>
      <c r="F15" s="20">
        <v>1.99</v>
      </c>
      <c r="G15" s="21">
        <v>131.34</v>
      </c>
    </row>
    <row r="16" spans="1:12" x14ac:dyDescent="0.25">
      <c r="A16" s="17">
        <v>44695</v>
      </c>
      <c r="B16" s="18" t="s">
        <v>44</v>
      </c>
      <c r="C16" s="18" t="s">
        <v>49</v>
      </c>
      <c r="D16" s="15" t="s">
        <v>48</v>
      </c>
      <c r="E16" s="19">
        <v>53</v>
      </c>
      <c r="F16" s="20">
        <v>1.29</v>
      </c>
      <c r="G16" s="21">
        <v>68.37</v>
      </c>
    </row>
    <row r="17" spans="1:7" x14ac:dyDescent="0.25">
      <c r="A17" s="17">
        <v>44712</v>
      </c>
      <c r="B17" s="18" t="s">
        <v>44</v>
      </c>
      <c r="C17" s="18" t="s">
        <v>49</v>
      </c>
      <c r="D17" s="15" t="s">
        <v>46</v>
      </c>
      <c r="E17" s="19">
        <v>80</v>
      </c>
      <c r="F17" s="20">
        <v>8.99</v>
      </c>
      <c r="G17" s="21">
        <v>719.2</v>
      </c>
    </row>
    <row r="18" spans="1:7" x14ac:dyDescent="0.25">
      <c r="A18" s="17">
        <v>44729</v>
      </c>
      <c r="B18" s="18" t="s">
        <v>44</v>
      </c>
      <c r="C18" s="18" t="s">
        <v>45</v>
      </c>
      <c r="D18" s="15" t="s">
        <v>54</v>
      </c>
      <c r="E18" s="19">
        <v>5</v>
      </c>
      <c r="F18" s="20">
        <v>125</v>
      </c>
      <c r="G18" s="21">
        <v>625</v>
      </c>
    </row>
    <row r="19" spans="1:7" x14ac:dyDescent="0.25">
      <c r="A19" s="17">
        <v>44763</v>
      </c>
      <c r="B19" s="18" t="s">
        <v>44</v>
      </c>
      <c r="C19" s="18" t="s">
        <v>52</v>
      </c>
      <c r="D19" s="15" t="s">
        <v>55</v>
      </c>
      <c r="E19" s="19">
        <v>55</v>
      </c>
      <c r="F19" s="20">
        <v>12.49</v>
      </c>
      <c r="G19" s="21">
        <v>686.95</v>
      </c>
    </row>
    <row r="20" spans="1:7" x14ac:dyDescent="0.25">
      <c r="A20" s="17">
        <v>44780</v>
      </c>
      <c r="B20" s="18" t="s">
        <v>44</v>
      </c>
      <c r="C20" s="18" t="s">
        <v>45</v>
      </c>
      <c r="D20" s="15" t="s">
        <v>55</v>
      </c>
      <c r="E20" s="19">
        <v>42</v>
      </c>
      <c r="F20" s="20">
        <v>23.95</v>
      </c>
      <c r="G20" s="21">
        <v>1005.9</v>
      </c>
    </row>
    <row r="21" spans="1:7" x14ac:dyDescent="0.25">
      <c r="A21" s="17">
        <v>44814</v>
      </c>
      <c r="B21" s="18" t="s">
        <v>44</v>
      </c>
      <c r="C21" s="18" t="s">
        <v>49</v>
      </c>
      <c r="D21" s="15" t="s">
        <v>48</v>
      </c>
      <c r="E21" s="19">
        <v>7</v>
      </c>
      <c r="F21" s="20">
        <v>1.29</v>
      </c>
      <c r="G21" s="21">
        <v>9.0300000000000011</v>
      </c>
    </row>
    <row r="22" spans="1:7" x14ac:dyDescent="0.25">
      <c r="A22" s="17">
        <v>44865</v>
      </c>
      <c r="B22" s="18" t="s">
        <v>44</v>
      </c>
      <c r="C22" s="18" t="s">
        <v>51</v>
      </c>
      <c r="D22" s="15" t="s">
        <v>48</v>
      </c>
      <c r="E22" s="19">
        <v>14</v>
      </c>
      <c r="F22" s="20">
        <v>1.29</v>
      </c>
      <c r="G22" s="21">
        <v>18.060000000000002</v>
      </c>
    </row>
    <row r="23" spans="1:7" x14ac:dyDescent="0.25">
      <c r="A23" s="17">
        <v>44882</v>
      </c>
      <c r="B23" s="18" t="s">
        <v>44</v>
      </c>
      <c r="C23" s="18" t="s">
        <v>47</v>
      </c>
      <c r="D23" s="15" t="s">
        <v>46</v>
      </c>
      <c r="E23" s="19">
        <v>11</v>
      </c>
      <c r="F23" s="20">
        <v>4.99</v>
      </c>
      <c r="G23" s="21">
        <v>54.89</v>
      </c>
    </row>
    <row r="24" spans="1:7" x14ac:dyDescent="0.25">
      <c r="A24" s="17">
        <v>44899</v>
      </c>
      <c r="B24" s="18" t="s">
        <v>44</v>
      </c>
      <c r="C24" s="18" t="s">
        <v>47</v>
      </c>
      <c r="D24" s="15" t="s">
        <v>46</v>
      </c>
      <c r="E24" s="19">
        <v>94</v>
      </c>
      <c r="F24" s="20">
        <v>19.989999999999998</v>
      </c>
      <c r="G24" s="21">
        <v>1879.06</v>
      </c>
    </row>
    <row r="25" spans="1:7" x14ac:dyDescent="0.25">
      <c r="A25" s="17">
        <v>44916</v>
      </c>
      <c r="B25" s="18" t="s">
        <v>44</v>
      </c>
      <c r="C25" s="18" t="s">
        <v>51</v>
      </c>
      <c r="D25" s="15" t="s">
        <v>46</v>
      </c>
      <c r="E25" s="19">
        <v>28</v>
      </c>
      <c r="F25" s="20">
        <v>4.99</v>
      </c>
      <c r="G25" s="21">
        <v>139.72</v>
      </c>
    </row>
    <row r="26" spans="1:7" x14ac:dyDescent="0.25">
      <c r="A26" s="17">
        <v>44202</v>
      </c>
      <c r="B26" s="18" t="s">
        <v>56</v>
      </c>
      <c r="C26" s="18" t="s">
        <v>57</v>
      </c>
      <c r="D26" s="15" t="s">
        <v>48</v>
      </c>
      <c r="E26" s="19">
        <v>95</v>
      </c>
      <c r="F26" s="20">
        <v>1.99</v>
      </c>
      <c r="G26" s="21">
        <v>189.05</v>
      </c>
    </row>
    <row r="27" spans="1:7" x14ac:dyDescent="0.25">
      <c r="A27" s="17">
        <v>44287</v>
      </c>
      <c r="B27" s="18" t="s">
        <v>56</v>
      </c>
      <c r="C27" s="18" t="s">
        <v>57</v>
      </c>
      <c r="D27" s="15" t="s">
        <v>46</v>
      </c>
      <c r="E27" s="19">
        <v>60</v>
      </c>
      <c r="F27" s="20">
        <v>4.99</v>
      </c>
      <c r="G27" s="21">
        <v>299.40000000000003</v>
      </c>
    </row>
    <row r="28" spans="1:7" x14ac:dyDescent="0.25">
      <c r="A28" s="17">
        <v>44355</v>
      </c>
      <c r="B28" s="18" t="s">
        <v>56</v>
      </c>
      <c r="C28" s="18" t="s">
        <v>57</v>
      </c>
      <c r="D28" s="15" t="s">
        <v>46</v>
      </c>
      <c r="E28" s="19">
        <v>60</v>
      </c>
      <c r="F28" s="20">
        <v>8.99</v>
      </c>
      <c r="G28" s="21">
        <v>539.4</v>
      </c>
    </row>
    <row r="29" spans="1:7" x14ac:dyDescent="0.25">
      <c r="A29" s="17">
        <v>44389</v>
      </c>
      <c r="B29" s="18" t="s">
        <v>56</v>
      </c>
      <c r="C29" s="18" t="s">
        <v>58</v>
      </c>
      <c r="D29" s="15" t="s">
        <v>46</v>
      </c>
      <c r="E29" s="19">
        <v>29</v>
      </c>
      <c r="F29" s="20">
        <v>1.99</v>
      </c>
      <c r="G29" s="21">
        <v>57.71</v>
      </c>
    </row>
    <row r="30" spans="1:7" x14ac:dyDescent="0.25">
      <c r="A30" s="17">
        <v>44406</v>
      </c>
      <c r="B30" s="18" t="s">
        <v>56</v>
      </c>
      <c r="C30" s="18" t="s">
        <v>59</v>
      </c>
      <c r="D30" s="15" t="s">
        <v>46</v>
      </c>
      <c r="E30" s="19">
        <v>81</v>
      </c>
      <c r="F30" s="20">
        <v>19.989999999999998</v>
      </c>
      <c r="G30" s="21">
        <v>1619.1899999999998</v>
      </c>
    </row>
    <row r="31" spans="1:7" x14ac:dyDescent="0.25">
      <c r="A31" s="17">
        <v>44423</v>
      </c>
      <c r="B31" s="18" t="s">
        <v>56</v>
      </c>
      <c r="C31" s="18" t="s">
        <v>57</v>
      </c>
      <c r="D31" s="15" t="s">
        <v>48</v>
      </c>
      <c r="E31" s="19">
        <v>35</v>
      </c>
      <c r="F31" s="20">
        <v>4.99</v>
      </c>
      <c r="G31" s="21">
        <v>174.65</v>
      </c>
    </row>
    <row r="32" spans="1:7" x14ac:dyDescent="0.25">
      <c r="A32" s="17">
        <v>44457</v>
      </c>
      <c r="B32" s="18" t="s">
        <v>56</v>
      </c>
      <c r="C32" s="18" t="s">
        <v>57</v>
      </c>
      <c r="D32" s="15" t="s">
        <v>55</v>
      </c>
      <c r="E32" s="19">
        <v>16</v>
      </c>
      <c r="F32" s="20">
        <v>15.99</v>
      </c>
      <c r="G32" s="21">
        <v>255.84</v>
      </c>
    </row>
    <row r="33" spans="1:7" x14ac:dyDescent="0.25">
      <c r="A33" s="17">
        <v>44491</v>
      </c>
      <c r="B33" s="18" t="s">
        <v>56</v>
      </c>
      <c r="C33" s="18" t="s">
        <v>57</v>
      </c>
      <c r="D33" s="15" t="s">
        <v>50</v>
      </c>
      <c r="E33" s="19">
        <v>64</v>
      </c>
      <c r="F33" s="20">
        <v>8.99</v>
      </c>
      <c r="G33" s="21">
        <v>575.36</v>
      </c>
    </row>
    <row r="34" spans="1:7" x14ac:dyDescent="0.25">
      <c r="A34" s="17">
        <v>44508</v>
      </c>
      <c r="B34" s="18" t="s">
        <v>56</v>
      </c>
      <c r="C34" s="18" t="s">
        <v>59</v>
      </c>
      <c r="D34" s="15" t="s">
        <v>50</v>
      </c>
      <c r="E34" s="19">
        <v>15</v>
      </c>
      <c r="F34" s="20">
        <v>19.989999999999998</v>
      </c>
      <c r="G34" s="21">
        <v>299.84999999999997</v>
      </c>
    </row>
    <row r="35" spans="1:7" x14ac:dyDescent="0.25">
      <c r="A35" s="17">
        <v>44559</v>
      </c>
      <c r="B35" s="18" t="s">
        <v>56</v>
      </c>
      <c r="C35" s="18" t="s">
        <v>59</v>
      </c>
      <c r="D35" s="15" t="s">
        <v>55</v>
      </c>
      <c r="E35" s="19">
        <v>74</v>
      </c>
      <c r="F35" s="20">
        <v>15.99</v>
      </c>
      <c r="G35" s="21">
        <v>1183.26</v>
      </c>
    </row>
    <row r="36" spans="1:7" x14ac:dyDescent="0.25">
      <c r="A36" s="17">
        <v>44610</v>
      </c>
      <c r="B36" s="18" t="s">
        <v>56</v>
      </c>
      <c r="C36" s="18" t="s">
        <v>57</v>
      </c>
      <c r="D36" s="15" t="s">
        <v>46</v>
      </c>
      <c r="E36" s="19">
        <v>5</v>
      </c>
      <c r="F36" s="20">
        <v>6</v>
      </c>
      <c r="G36" s="21">
        <v>30</v>
      </c>
    </row>
    <row r="37" spans="1:7" x14ac:dyDescent="0.25">
      <c r="A37" s="17">
        <v>44678</v>
      </c>
      <c r="B37" s="18" t="s">
        <v>56</v>
      </c>
      <c r="C37" s="18" t="s">
        <v>58</v>
      </c>
      <c r="D37" s="15" t="s">
        <v>50</v>
      </c>
      <c r="E37" s="19">
        <v>96</v>
      </c>
      <c r="F37" s="20">
        <v>4.99</v>
      </c>
      <c r="G37" s="21">
        <v>479.04</v>
      </c>
    </row>
    <row r="38" spans="1:7" x14ac:dyDescent="0.25">
      <c r="A38" s="17">
        <v>44746</v>
      </c>
      <c r="B38" s="18" t="s">
        <v>56</v>
      </c>
      <c r="C38" s="18" t="s">
        <v>57</v>
      </c>
      <c r="D38" s="15" t="s">
        <v>55</v>
      </c>
      <c r="E38" s="19">
        <v>62</v>
      </c>
      <c r="F38" s="20">
        <v>4.99</v>
      </c>
      <c r="G38" s="21">
        <v>309.38</v>
      </c>
    </row>
    <row r="39" spans="1:7" x14ac:dyDescent="0.25">
      <c r="A39" s="17">
        <v>44270</v>
      </c>
      <c r="B39" s="18" t="s">
        <v>60</v>
      </c>
      <c r="C39" s="18" t="s">
        <v>61</v>
      </c>
      <c r="D39" s="15" t="s">
        <v>48</v>
      </c>
      <c r="E39" s="19">
        <v>56</v>
      </c>
      <c r="F39" s="20">
        <v>2.99</v>
      </c>
      <c r="G39" s="21">
        <v>167.44</v>
      </c>
    </row>
    <row r="40" spans="1:7" x14ac:dyDescent="0.25">
      <c r="A40" s="17">
        <v>44338</v>
      </c>
      <c r="B40" s="18" t="s">
        <v>60</v>
      </c>
      <c r="C40" s="18" t="s">
        <v>62</v>
      </c>
      <c r="D40" s="15" t="s">
        <v>48</v>
      </c>
      <c r="E40" s="19">
        <v>32</v>
      </c>
      <c r="F40" s="20">
        <v>1.99</v>
      </c>
      <c r="G40" s="21">
        <v>63.68</v>
      </c>
    </row>
    <row r="41" spans="1:7" x14ac:dyDescent="0.25">
      <c r="A41" s="17">
        <v>44627</v>
      </c>
      <c r="B41" s="18" t="s">
        <v>60</v>
      </c>
      <c r="C41" s="18" t="s">
        <v>61</v>
      </c>
      <c r="D41" s="15" t="s">
        <v>46</v>
      </c>
      <c r="E41" s="19">
        <v>7</v>
      </c>
      <c r="F41" s="20">
        <v>19.989999999999998</v>
      </c>
      <c r="G41" s="21">
        <v>139.92999999999998</v>
      </c>
    </row>
    <row r="42" spans="1:7" x14ac:dyDescent="0.25">
      <c r="A42" s="17">
        <v>44797</v>
      </c>
      <c r="B42" s="18" t="s">
        <v>60</v>
      </c>
      <c r="C42" s="18" t="s">
        <v>61</v>
      </c>
      <c r="D42" s="15" t="s">
        <v>54</v>
      </c>
      <c r="E42" s="19">
        <v>3</v>
      </c>
      <c r="F42" s="20">
        <v>275</v>
      </c>
      <c r="G42" s="21">
        <v>825</v>
      </c>
    </row>
    <row r="43" spans="1:7" x14ac:dyDescent="0.25">
      <c r="A43" s="17">
        <v>44831</v>
      </c>
      <c r="B43" s="18" t="s">
        <v>60</v>
      </c>
      <c r="C43" s="18" t="s">
        <v>61</v>
      </c>
      <c r="D43" s="15" t="s">
        <v>50</v>
      </c>
      <c r="E43" s="19">
        <v>76</v>
      </c>
      <c r="F43" s="20">
        <v>1.99</v>
      </c>
      <c r="G43" s="21">
        <v>151.24</v>
      </c>
    </row>
    <row r="44" spans="1:7" x14ac:dyDescent="0.25">
      <c r="A44" s="17">
        <v>44848</v>
      </c>
      <c r="B44" s="18" t="s">
        <v>60</v>
      </c>
      <c r="C44" s="18" t="s">
        <v>62</v>
      </c>
      <c r="D44" s="15" t="s">
        <v>46</v>
      </c>
      <c r="E44" s="19">
        <v>57</v>
      </c>
      <c r="F44" s="20">
        <v>19.989999999999998</v>
      </c>
      <c r="G44" s="21">
        <v>1139.4299999999998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Sheet2</vt:lpstr>
      <vt:lpstr>Sheet3</vt:lpstr>
    </vt:vector>
  </TitlesOfParts>
  <Company>Shane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Sumita Rai</dc:creator>
  <cp:lastModifiedBy>Sumita Rai</cp:lastModifiedBy>
  <dcterms:created xsi:type="dcterms:W3CDTF">2019-11-08T17:32:44Z</dcterms:created>
  <dcterms:modified xsi:type="dcterms:W3CDTF">2024-01-29T03:34:38Z</dcterms:modified>
</cp:coreProperties>
</file>