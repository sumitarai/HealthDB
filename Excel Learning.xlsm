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Work\HandsOn\HealthDB\"/>
    </mc:Choice>
  </mc:AlternateContent>
  <xr:revisionPtr revIDLastSave="0" documentId="13_ncr:1_{CF6A14D3-AB4A-4EAA-A166-617DDE1F7F47}" xr6:coauthVersionLast="47" xr6:coauthVersionMax="47" xr10:uidLastSave="{00000000-0000-0000-0000-000000000000}"/>
  <bookViews>
    <workbookView xWindow="28680" yWindow="-1620" windowWidth="29040" windowHeight="15840" firstSheet="1" activeTab="1" xr2:uid="{00000000-000D-0000-FFFF-FFFF00000000}"/>
  </bookViews>
  <sheets>
    <sheet name="Sheet1" sheetId="1" state="hidden" r:id="rId1"/>
    <sheet name="Excel Basics" sheetId="5" r:id="rId2"/>
    <sheet name="Pivot Table and Chart" sheetId="4" r:id="rId3"/>
    <sheet name="Conditional Formatting" sheetId="9" r:id="rId4"/>
    <sheet name="Excel Functions" sheetId="10" r:id="rId5"/>
    <sheet name="StateCode" sheetId="11" r:id="rId6"/>
    <sheet name="shortcuts" sheetId="2" r:id="rId7"/>
  </sheets>
  <functionGroups builtInGroupCount="19"/>
  <definedNames>
    <definedName name="_xlnm._FilterDatabase" localSheetId="1" hidden="1">'Excel Basics'!$A$31:$N$73</definedName>
    <definedName name="_xlnm._FilterDatabase" localSheetId="2" hidden="1">'Pivot Table and Chart'!$A$3:$G$3</definedName>
  </definedNames>
  <calcPr calcId="191029"/>
  <pivotCaches>
    <pivotCache cacheId="0"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4" i="10" l="1" a="1"/>
  <c r="C114" i="10" s="1"/>
  <c r="F9" i="10"/>
  <c r="F10" i="10"/>
  <c r="F11" i="10"/>
  <c r="F12" i="10"/>
  <c r="F5" i="10"/>
  <c r="F6" i="10"/>
  <c r="F7" i="10"/>
  <c r="F8" i="10"/>
  <c r="F4" i="10"/>
  <c r="C111" i="10"/>
  <c r="C103" i="10"/>
  <c r="C109" i="10"/>
  <c r="C107" i="10"/>
  <c r="C105" i="10"/>
  <c r="E104" i="10"/>
  <c r="E105" i="10"/>
  <c r="E103" i="10"/>
  <c r="G82" i="10"/>
  <c r="G83" i="10"/>
  <c r="G84" i="10"/>
  <c r="G85" i="10"/>
  <c r="G86" i="10"/>
  <c r="G87" i="10"/>
  <c r="G88" i="10"/>
  <c r="G89" i="10"/>
  <c r="G81" i="10"/>
  <c r="F82" i="10"/>
  <c r="F83" i="10"/>
  <c r="F84" i="10"/>
  <c r="F85" i="10"/>
  <c r="F86" i="10"/>
  <c r="F87" i="10"/>
  <c r="F88" i="10"/>
  <c r="F89" i="10"/>
  <c r="F81" i="10"/>
  <c r="E93" i="10" a="1"/>
  <c r="E93" i="10" s="1"/>
  <c r="D93" i="10"/>
  <c r="D94" i="10"/>
  <c r="D95" i="10"/>
  <c r="D96" i="10"/>
  <c r="D97" i="10"/>
  <c r="D98" i="10"/>
  <c r="D99" i="10"/>
  <c r="D100" i="10"/>
  <c r="D101" i="10"/>
  <c r="E82" i="10"/>
  <c r="E83" i="10"/>
  <c r="E84" i="10"/>
  <c r="E85" i="10"/>
  <c r="E86" i="10"/>
  <c r="E87" i="10"/>
  <c r="E88" i="10"/>
  <c r="E89" i="10"/>
  <c r="E81" i="10"/>
  <c r="D82" i="10"/>
  <c r="D83" i="10"/>
  <c r="D84" i="10"/>
  <c r="D85" i="10"/>
  <c r="D86" i="10"/>
  <c r="D87" i="10"/>
  <c r="D88" i="10"/>
  <c r="D89" i="10"/>
  <c r="D81" i="10"/>
  <c r="B81" i="10" a="1"/>
  <c r="B81" i="10" s="1"/>
  <c r="E70" i="10" a="1"/>
  <c r="E70" i="10" s="1"/>
  <c r="E71" i="10" a="1"/>
  <c r="E71" i="10" s="1"/>
  <c r="E72" i="10" a="1"/>
  <c r="E72" i="10" s="1"/>
  <c r="E73" i="10" a="1"/>
  <c r="E73" i="10"/>
  <c r="E74" i="10" a="1"/>
  <c r="E74" i="10"/>
  <c r="E75" i="10" a="1"/>
  <c r="E75" i="10" s="1"/>
  <c r="E76" i="10" a="1"/>
  <c r="E76" i="10" s="1"/>
  <c r="E77" i="10" a="1"/>
  <c r="E77" i="10" s="1"/>
  <c r="E69" i="10" a="1"/>
  <c r="E69" i="10" s="1"/>
  <c r="L62" i="10"/>
  <c r="L63" i="10"/>
  <c r="L54" i="10"/>
  <c r="L55" i="10"/>
  <c r="L56" i="10"/>
  <c r="L57" i="10"/>
  <c r="L58" i="10"/>
  <c r="L59" i="10"/>
  <c r="L60" i="10"/>
  <c r="F62" i="10"/>
  <c r="F58" i="10"/>
  <c r="F56" i="10"/>
  <c r="D70" i="10"/>
  <c r="D71" i="10"/>
  <c r="D72" i="10"/>
  <c r="D73" i="10"/>
  <c r="D74" i="10"/>
  <c r="D75" i="10"/>
  <c r="D76" i="10"/>
  <c r="D77" i="10"/>
  <c r="D69" i="10"/>
  <c r="B64" i="10"/>
  <c r="B61" i="10"/>
  <c r="B60" i="10"/>
  <c r="B57" i="10"/>
  <c r="B56" i="10"/>
  <c r="B55" i="10"/>
  <c r="B59" i="10"/>
  <c r="B58" i="10"/>
  <c r="B62" i="10"/>
  <c r="B63" i="10"/>
  <c r="E32" i="10"/>
  <c r="E33" i="10" s="1"/>
  <c r="E34" i="10" s="1"/>
  <c r="E35" i="10" s="1"/>
  <c r="E36" i="10" s="1"/>
  <c r="E37" i="10" s="1"/>
  <c r="E38" i="10" s="1"/>
  <c r="E39" i="10" s="1"/>
  <c r="E40" i="10" s="1"/>
  <c r="E41" i="10" s="1"/>
  <c r="E42" i="10" s="1"/>
  <c r="E43" i="10" s="1"/>
  <c r="E44" i="10" s="1"/>
  <c r="E45" i="10" s="1"/>
  <c r="E46" i="10" s="1"/>
  <c r="E47" i="10" s="1"/>
  <c r="E48" i="10" s="1"/>
  <c r="E49" i="10" s="1"/>
  <c r="E50" i="10" s="1"/>
  <c r="D31" i="10"/>
  <c r="D32" i="10"/>
  <c r="D33" i="10"/>
  <c r="D34" i="10"/>
  <c r="D35" i="10"/>
  <c r="D36" i="10"/>
  <c r="D37" i="10"/>
  <c r="D38" i="10"/>
  <c r="D39" i="10"/>
  <c r="D40" i="10"/>
  <c r="D41" i="10"/>
  <c r="D42" i="10"/>
  <c r="D43" i="10"/>
  <c r="D44" i="10"/>
  <c r="D45" i="10"/>
  <c r="D46" i="10"/>
  <c r="D47" i="10"/>
  <c r="D48" i="10"/>
  <c r="D49" i="10"/>
  <c r="D50" i="10"/>
  <c r="L12" i="10"/>
  <c r="L13" i="10"/>
  <c r="L14" i="10"/>
  <c r="L5" i="10"/>
  <c r="L6" i="10"/>
  <c r="L7" i="10"/>
  <c r="L8" i="10"/>
  <c r="L9" i="10"/>
  <c r="L4" i="10"/>
  <c r="E19" i="10"/>
  <c r="E20" i="10"/>
  <c r="E21" i="10"/>
  <c r="E22" i="10"/>
  <c r="E23" i="10"/>
  <c r="E24" i="10"/>
  <c r="E25" i="10"/>
  <c r="E26" i="10"/>
  <c r="E18" i="10"/>
  <c r="E5" i="10"/>
  <c r="E6" i="10"/>
  <c r="E7" i="10"/>
  <c r="E8" i="10"/>
  <c r="E9" i="10"/>
  <c r="E10" i="10"/>
  <c r="E11" i="10"/>
  <c r="E12" i="10"/>
  <c r="E4" i="10"/>
  <c r="D18" i="10"/>
  <c r="D19" i="10"/>
  <c r="D20" i="10"/>
  <c r="D21" i="10"/>
  <c r="D22" i="10"/>
  <c r="D23" i="10"/>
  <c r="D24" i="10"/>
  <c r="D25" i="10"/>
  <c r="D26" i="10"/>
  <c r="D5" i="10"/>
  <c r="D6" i="10"/>
  <c r="D7" i="10"/>
  <c r="D8" i="10"/>
  <c r="D9" i="10"/>
  <c r="D10" i="10"/>
  <c r="D11" i="10"/>
  <c r="D12" i="10"/>
  <c r="D4" i="10"/>
  <c r="D84" i="9"/>
  <c r="D82" i="9"/>
  <c r="D81" i="9"/>
  <c r="E74" i="9"/>
  <c r="E75" i="9"/>
  <c r="E76" i="9"/>
  <c r="E77" i="9"/>
  <c r="E78" i="9"/>
  <c r="E79" i="9"/>
  <c r="E73" i="9"/>
  <c r="E67" i="9"/>
  <c r="G44" i="4"/>
  <c r="G43" i="4"/>
  <c r="G42" i="4"/>
  <c r="G41" i="4"/>
  <c r="G40" i="4"/>
  <c r="G39" i="4"/>
  <c r="G38" i="4"/>
  <c r="G37" i="4"/>
  <c r="G36" i="4"/>
  <c r="G35" i="4"/>
  <c r="G34" i="4"/>
  <c r="G33" i="4"/>
  <c r="G32" i="4"/>
  <c r="G31" i="4"/>
  <c r="G30" i="4"/>
  <c r="G29" i="4"/>
  <c r="G28" i="4"/>
  <c r="G27" i="4"/>
  <c r="G26" i="4"/>
  <c r="G25" i="4"/>
  <c r="G24" i="4"/>
  <c r="G23" i="4"/>
  <c r="G22" i="4"/>
  <c r="G21" i="4"/>
  <c r="G20" i="4"/>
  <c r="G19" i="4"/>
  <c r="G18" i="4"/>
  <c r="G17" i="4"/>
  <c r="G16" i="4"/>
  <c r="G15" i="4"/>
  <c r="G14" i="4"/>
  <c r="G13" i="4"/>
  <c r="G12" i="4"/>
  <c r="G11" i="4"/>
  <c r="G10" i="4"/>
  <c r="G9" i="4"/>
  <c r="G8" i="4"/>
  <c r="G7" i="4"/>
  <c r="G6" i="4"/>
  <c r="G5" i="4"/>
  <c r="G4" i="4"/>
  <c r="G3" i="4"/>
  <c r="G2" i="4"/>
  <c r="F9" i="5" l="1"/>
  <c r="D8" i="5"/>
  <c r="B42" i="2"/>
  <c r="D39" i="2" l="1"/>
  <c r="D40" i="2"/>
  <c r="D41" i="2"/>
  <c r="D38" i="2"/>
  <c r="C22" i="2" a="1"/>
  <c r="C21" i="2" a="1"/>
  <c r="C24" i="2" a="1"/>
  <c r="C23" i="2" a="1"/>
  <c r="C21" i="2" l="1"/>
  <c r="C23" i="2"/>
  <c r="C22" i="2"/>
  <c r="C24"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<sst xmlns="http://schemas.openxmlformats.org/spreadsheetml/2006/main" count="722" uniqueCount="406">
  <si>
    <t>Excel's Business Intelligence</t>
  </si>
  <si>
    <t>Raw Data</t>
  </si>
  <si>
    <t>File, Excel tables, DB(SQL, Azure)</t>
  </si>
  <si>
    <t>Power Query</t>
  </si>
  <si>
    <t>aka Get &amp; Transform</t>
  </si>
  <si>
    <t>Data Model</t>
  </si>
  <si>
    <t>Create Table relationships</t>
  </si>
  <si>
    <t>Power Pivot &amp; DAX</t>
  </si>
  <si>
    <t>Explore and analyze the entire data model</t>
  </si>
  <si>
    <t xml:space="preserve">DAX </t>
  </si>
  <si>
    <t>Data Analysis Experssions</t>
  </si>
  <si>
    <t>Raw</t>
  </si>
  <si>
    <t>Power</t>
  </si>
  <si>
    <t>Data</t>
  </si>
  <si>
    <t>Query</t>
  </si>
  <si>
    <t>Model</t>
  </si>
  <si>
    <t>Ctrl E</t>
  </si>
  <si>
    <t>on second row</t>
  </si>
  <si>
    <t>English</t>
  </si>
  <si>
    <t>Happy Thanksgiving</t>
  </si>
  <si>
    <t>I love my grandma</t>
  </si>
  <si>
    <t>=GOOGLETRANSLATE(B12,"en","fr")</t>
  </si>
  <si>
    <t>मैं अपनी दादी से प्यार करता हूं</t>
  </si>
  <si>
    <t>Hindi</t>
  </si>
  <si>
    <t>Review &gt;&gt; Translate</t>
  </si>
  <si>
    <t xml:space="preserve">Enter </t>
  </si>
  <si>
    <t>Sumita Rai</t>
  </si>
  <si>
    <t>=SPLT(B21)</t>
  </si>
  <si>
    <t>Create a splt function using Visual Basic Code</t>
  </si>
  <si>
    <t>View Code &gt;&gt; Current Workbook &gt;&gt; Insert &gt;&gt; Module &gt;&gt;  Create a Function</t>
  </si>
  <si>
    <t>Prakash Rai</t>
  </si>
  <si>
    <t>Lisa Rai</t>
  </si>
  <si>
    <t>Mimi Rai</t>
  </si>
  <si>
    <t>Net Profit</t>
  </si>
  <si>
    <t>Total</t>
  </si>
  <si>
    <t>ATL =</t>
  </si>
  <si>
    <t>OrderDate</t>
  </si>
  <si>
    <t>Region</t>
  </si>
  <si>
    <t>Rep</t>
  </si>
  <si>
    <t>Item</t>
  </si>
  <si>
    <t>Units</t>
  </si>
  <si>
    <t>Unit Cost</t>
  </si>
  <si>
    <t>Central</t>
  </si>
  <si>
    <t>Kivell</t>
  </si>
  <si>
    <t>Binder</t>
  </si>
  <si>
    <t>Jardine</t>
  </si>
  <si>
    <t>Pencil</t>
  </si>
  <si>
    <t>Gill</t>
  </si>
  <si>
    <t>Pen</t>
  </si>
  <si>
    <t>Andrews</t>
  </si>
  <si>
    <t>Morgan</t>
  </si>
  <si>
    <t>Smith</t>
  </si>
  <si>
    <t>Desk</t>
  </si>
  <si>
    <t>Pen Set</t>
  </si>
  <si>
    <t>East</t>
  </si>
  <si>
    <t>Jones</t>
  </si>
  <si>
    <t>Howard</t>
  </si>
  <si>
    <t>Parent</t>
  </si>
  <si>
    <t>West</t>
  </si>
  <si>
    <t>Sorvino</t>
  </si>
  <si>
    <t>Thompson</t>
  </si>
  <si>
    <t>Row Labels</t>
  </si>
  <si>
    <t>Grand Total</t>
  </si>
  <si>
    <t>Sum of Total</t>
  </si>
  <si>
    <t>Click the cell and then</t>
  </si>
  <si>
    <t>हैप्पी थैंक्सगिविंग</t>
  </si>
  <si>
    <t>or click Translate from the ribbon</t>
  </si>
  <si>
    <r>
      <t>hotkey</t>
    </r>
    <r>
      <rPr>
        <b/>
        <sz val="12"/>
        <color theme="1"/>
        <rFont val="Calibri"/>
        <family val="2"/>
        <scheme val="minor"/>
      </rPr>
      <t xml:space="preserve"> Shift + F11</t>
    </r>
    <r>
      <rPr>
        <sz val="11"/>
        <color theme="1"/>
        <rFont val="Calibri"/>
        <family val="2"/>
        <scheme val="minor"/>
      </rPr>
      <t xml:space="preserve"> to create new sheets</t>
    </r>
  </si>
  <si>
    <r>
      <rPr>
        <b/>
        <sz val="11"/>
        <color theme="1"/>
        <rFont val="Calibri"/>
        <family val="2"/>
        <scheme val="minor"/>
      </rPr>
      <t>Ribbon</t>
    </r>
    <r>
      <rPr>
        <sz val="11"/>
        <color theme="1"/>
        <rFont val="Calibri"/>
        <family val="2"/>
        <scheme val="minor"/>
      </rPr>
      <t>: used to navigate and access commands. The Ribbon is made up by the App launcher, Tabs, Groups and Commands. In this section we will explain the different parts of the Ribbon.</t>
    </r>
  </si>
  <si>
    <r>
      <rPr>
        <b/>
        <sz val="11"/>
        <color theme="1"/>
        <rFont val="Calibri"/>
        <family val="2"/>
        <scheme val="minor"/>
      </rPr>
      <t>Sheet</t>
    </r>
    <r>
      <rPr>
        <sz val="11"/>
        <color theme="1"/>
        <rFont val="Calibri"/>
        <family val="2"/>
        <scheme val="minor"/>
      </rPr>
      <t>: columns and rows make cells. The reference of the cell is its coordinates. For example, C4 has the coordinates of column C and row 4. You find the cell in the intersection of the two. The letter is always the column and the number is always the row.</t>
    </r>
  </si>
  <si>
    <r>
      <rPr>
        <b/>
        <sz val="12"/>
        <color theme="1"/>
        <rFont val="Calibri"/>
        <family val="2"/>
        <scheme val="minor"/>
      </rPr>
      <t xml:space="preserve">Excel Syntax: </t>
    </r>
    <r>
      <rPr>
        <sz val="12"/>
        <color theme="1"/>
        <rFont val="Calibri"/>
        <family val="2"/>
        <scheme val="minor"/>
      </rPr>
      <t>A formula in Excel is used to do mathematical calculations. Formulas always start with the equal sign = typed in the cell, followed by your calculation.</t>
    </r>
  </si>
  <si>
    <r>
      <t xml:space="preserve">Excel is made of two components: </t>
    </r>
    <r>
      <rPr>
        <b/>
        <sz val="11"/>
        <color theme="1"/>
        <rFont val="Calibri"/>
        <family val="2"/>
        <scheme val="minor"/>
      </rPr>
      <t>Ribbon and Sheet</t>
    </r>
  </si>
  <si>
    <t>=1+1</t>
  </si>
  <si>
    <t>Type the equal sign (=) and then enter numeric value1 , arithemetic operator and numeric value2</t>
  </si>
  <si>
    <t>F7 (=D7-E7)</t>
  </si>
  <si>
    <t>Select cell F7 &gt; Type the equal sign (=) and then click D7 cell,  arithemetic operator and E7 cell &gt; Enter</t>
  </si>
  <si>
    <t>Note: You can make formulas with all four arithmetic operations, such as addition (+), subtraction (-), multiplication (*) and division (/).</t>
  </si>
  <si>
    <r>
      <rPr>
        <b/>
        <sz val="12"/>
        <color theme="1"/>
        <rFont val="Calibri"/>
        <family val="2"/>
        <scheme val="minor"/>
      </rPr>
      <t>Excel Ranges:</t>
    </r>
    <r>
      <rPr>
        <b/>
        <sz val="11"/>
        <color theme="1"/>
        <rFont val="Calibri"/>
        <family val="2"/>
        <scheme val="minor"/>
      </rPr>
      <t xml:space="preserve"> </t>
    </r>
    <r>
      <rPr>
        <sz val="11"/>
        <color theme="1"/>
        <rFont val="Calibri"/>
        <family val="2"/>
        <scheme val="minor"/>
      </rPr>
      <t>Range is an important part of Excel because it allows you to work with selections of cells</t>
    </r>
  </si>
  <si>
    <r>
      <rPr>
        <b/>
        <sz val="11"/>
        <color theme="1"/>
        <rFont val="Calibri"/>
        <family val="2"/>
        <scheme val="minor"/>
      </rPr>
      <t xml:space="preserve">Selecting Multiple Cells: </t>
    </r>
    <r>
      <rPr>
        <sz val="11"/>
        <color theme="1"/>
        <rFont val="Calibri"/>
        <family val="2"/>
        <scheme val="minor"/>
      </rPr>
      <t xml:space="preserve">More than one cell can be selected by pressing and holding down </t>
    </r>
    <r>
      <rPr>
        <b/>
        <sz val="11"/>
        <color theme="1"/>
        <rFont val="Calibri"/>
        <family val="2"/>
        <scheme val="minor"/>
      </rPr>
      <t>CTRL or Command and left clicking the cells</t>
    </r>
    <r>
      <rPr>
        <sz val="11"/>
        <color theme="1"/>
        <rFont val="Calibri"/>
        <family val="2"/>
        <scheme val="minor"/>
      </rPr>
      <t>. Once finished with selecting, you can let go of CTRL or Command.</t>
    </r>
  </si>
  <si>
    <r>
      <t xml:space="preserve">Type the range Column A, Row 1 : Column E, Row 10 &gt;&gt; </t>
    </r>
    <r>
      <rPr>
        <b/>
        <sz val="11"/>
        <color theme="1"/>
        <rFont val="Calibri"/>
        <family val="2"/>
        <scheme val="minor"/>
      </rPr>
      <t>A1:E10</t>
    </r>
  </si>
  <si>
    <r>
      <t xml:space="preserve">Tip: You can cut using the hotkey </t>
    </r>
    <r>
      <rPr>
        <b/>
        <sz val="12"/>
        <color theme="1"/>
        <rFont val="Calibri"/>
        <family val="2"/>
        <scheme val="minor"/>
      </rPr>
      <t>CTRL+X</t>
    </r>
    <r>
      <rPr>
        <sz val="11"/>
        <color theme="1"/>
        <rFont val="Calibri"/>
        <family val="2"/>
        <scheme val="minor"/>
      </rPr>
      <t xml:space="preserve">, or copy using  </t>
    </r>
    <r>
      <rPr>
        <b/>
        <sz val="12"/>
        <color theme="1"/>
        <rFont val="Calibri"/>
        <family val="2"/>
        <scheme val="minor"/>
      </rPr>
      <t xml:space="preserve">CTRL+C </t>
    </r>
    <r>
      <rPr>
        <sz val="11"/>
        <color theme="1"/>
        <rFont val="Calibri"/>
        <family val="2"/>
        <scheme val="minor"/>
      </rPr>
      <t xml:space="preserve">and paste by </t>
    </r>
    <r>
      <rPr>
        <b/>
        <sz val="12"/>
        <color theme="1"/>
        <rFont val="Calibri"/>
        <family val="2"/>
        <scheme val="minor"/>
      </rPr>
      <t>CTRL+V</t>
    </r>
    <r>
      <rPr>
        <sz val="11"/>
        <color theme="1"/>
        <rFont val="Calibri"/>
        <family val="2"/>
        <scheme val="minor"/>
      </rPr>
      <t>. This saves you time.</t>
    </r>
  </si>
  <si>
    <r>
      <t xml:space="preserve">Excel Move Cells </t>
    </r>
    <r>
      <rPr>
        <sz val="11"/>
        <color theme="1"/>
        <rFont val="Calibri"/>
        <family val="2"/>
        <scheme val="minor"/>
      </rPr>
      <t xml:space="preserve">&gt;&gt; There are two ways to move cells: </t>
    </r>
    <r>
      <rPr>
        <b/>
        <sz val="11"/>
        <color theme="1"/>
        <rFont val="Calibri"/>
        <family val="2"/>
        <scheme val="minor"/>
      </rPr>
      <t xml:space="preserve"> Copy and paste or by Drag and drop.</t>
    </r>
  </si>
  <si>
    <t>Drag and drop &gt;&gt; Select the cell range that need to move. Hover over the selected range until the mouse cursor change the symbol and then drag and drop by pressing and holding left mouse button to the cell you want to drop.</t>
  </si>
  <si>
    <r>
      <rPr>
        <b/>
        <sz val="12"/>
        <color theme="1"/>
        <rFont val="Calibri"/>
        <family val="2"/>
        <scheme val="minor"/>
      </rPr>
      <t xml:space="preserve">Double Click: </t>
    </r>
    <r>
      <rPr>
        <sz val="11"/>
        <color theme="1"/>
        <rFont val="Calibri"/>
        <family val="2"/>
        <scheme val="minor"/>
      </rPr>
      <t xml:space="preserve">The </t>
    </r>
    <r>
      <rPr>
        <b/>
        <sz val="11"/>
        <color theme="1"/>
        <rFont val="Calibri"/>
        <family val="2"/>
        <scheme val="minor"/>
      </rPr>
      <t>fill function</t>
    </r>
    <r>
      <rPr>
        <sz val="11"/>
        <color theme="1"/>
        <rFont val="Calibri"/>
        <family val="2"/>
        <scheme val="minor"/>
      </rPr>
      <t xml:space="preserve"> can be</t>
    </r>
    <r>
      <rPr>
        <sz val="11"/>
        <color rgb="FFFF0000"/>
        <rFont val="Calibri"/>
        <family val="2"/>
        <scheme val="minor"/>
      </rPr>
      <t xml:space="preserve"> </t>
    </r>
    <r>
      <rPr>
        <b/>
        <sz val="11"/>
        <color rgb="FFFF0000"/>
        <rFont val="Calibri"/>
        <family val="2"/>
        <scheme val="minor"/>
      </rPr>
      <t>double clicked</t>
    </r>
    <r>
      <rPr>
        <sz val="11"/>
        <color theme="1"/>
        <rFont val="Calibri"/>
        <family val="2"/>
        <scheme val="minor"/>
      </rPr>
      <t xml:space="preserve"> to complete formulas in a range. For the double click to work it has to see a recognizable pattern.
For example: by using headers, or with the formulas in the columns or rows next to the data.
Adding headers helped the function to understand the relationship between the data.</t>
    </r>
  </si>
  <si>
    <t>EXCEL TUTORIALS</t>
  </si>
  <si>
    <r>
      <t xml:space="preserve">keyboard shortcut for the Undo command &gt; </t>
    </r>
    <r>
      <rPr>
        <b/>
        <sz val="11"/>
        <color theme="1"/>
        <rFont val="Calibri"/>
        <family val="2"/>
        <scheme val="minor"/>
      </rPr>
      <t>CTRL + Z (Windows) / Command+Z (MAC)</t>
    </r>
  </si>
  <si>
    <r>
      <t xml:space="preserve">keyboard shortcut for the Redo command &gt; </t>
    </r>
    <r>
      <rPr>
        <b/>
        <sz val="11"/>
        <color theme="1"/>
        <rFont val="Calibri"/>
        <family val="2"/>
        <scheme val="minor"/>
      </rPr>
      <t>CTRL + Y (Windows) / Command + Y (MAC)</t>
    </r>
  </si>
  <si>
    <r>
      <t xml:space="preserve">Values used in formulas can be typed directly or by using cells. The formula updates the result if the value of cells changes. The fill function can be used to continue your formulas upwards, downwards and sidewards. Excel has pre-built SUM functions, such as </t>
    </r>
    <r>
      <rPr>
        <sz val="11"/>
        <color rgb="FFFF0000"/>
        <rFont val="Calibri"/>
        <family val="2"/>
        <scheme val="minor"/>
      </rPr>
      <t>=</t>
    </r>
    <r>
      <rPr>
        <b/>
        <sz val="11"/>
        <color rgb="FFFF0000"/>
        <rFont val="Calibri"/>
        <family val="2"/>
        <scheme val="minor"/>
      </rPr>
      <t>SUM(E1:E4) or =SUM(25;15;5)</t>
    </r>
  </si>
  <si>
    <r>
      <rPr>
        <b/>
        <sz val="11"/>
        <color theme="1"/>
        <rFont val="Calibri"/>
        <family val="2"/>
        <scheme val="minor"/>
      </rPr>
      <t>Excel References</t>
    </r>
    <r>
      <rPr>
        <sz val="11"/>
        <color theme="1"/>
        <rFont val="Calibri"/>
        <family val="2"/>
        <scheme val="minor"/>
      </rPr>
      <t xml:space="preserve">: Excel has two types of references </t>
    </r>
    <r>
      <rPr>
        <b/>
        <sz val="11"/>
        <color theme="1"/>
        <rFont val="Calibri"/>
        <family val="2"/>
        <scheme val="minor"/>
      </rPr>
      <t>Relative and Absolute References</t>
    </r>
  </si>
  <si>
    <r>
      <rPr>
        <b/>
        <sz val="11"/>
        <color theme="1"/>
        <rFont val="Calibri"/>
        <family val="2"/>
        <scheme val="minor"/>
      </rPr>
      <t xml:space="preserve">Absolute References </t>
    </r>
    <r>
      <rPr>
        <sz val="11"/>
        <color theme="1"/>
        <rFont val="Calibri"/>
        <family val="2"/>
        <scheme val="minor"/>
      </rPr>
      <t xml:space="preserve">&gt;&gt; References use dollar sign ($). It locks a reference in the formula. 
- Absolute for column and row. The reference is absolutely locked. Example: </t>
    </r>
    <r>
      <rPr>
        <b/>
        <sz val="11"/>
        <color theme="1"/>
        <rFont val="Calibri"/>
        <family val="2"/>
        <scheme val="minor"/>
      </rPr>
      <t xml:space="preserve">=$A$1
- </t>
    </r>
    <r>
      <rPr>
        <sz val="11"/>
        <color theme="1"/>
        <rFont val="Calibri"/>
        <family val="2"/>
        <scheme val="minor"/>
      </rPr>
      <t xml:space="preserve">Absolute for the column. The reference is locked to that column. The row remains relative. Example </t>
    </r>
    <r>
      <rPr>
        <b/>
        <sz val="11"/>
        <color theme="1"/>
        <rFont val="Calibri"/>
        <family val="2"/>
        <scheme val="minor"/>
      </rPr>
      <t>=$A1</t>
    </r>
    <r>
      <rPr>
        <sz val="11"/>
        <color theme="1"/>
        <rFont val="Calibri"/>
        <family val="2"/>
        <scheme val="minor"/>
      </rPr>
      <t xml:space="preserve">
- Absolute for the row. The reference is locked to that row. The column remains relative. Example </t>
    </r>
    <r>
      <rPr>
        <b/>
        <sz val="11"/>
        <color theme="1"/>
        <rFont val="Calibri"/>
        <family val="2"/>
        <scheme val="minor"/>
      </rPr>
      <t>=A$1</t>
    </r>
  </si>
  <si>
    <t>Example: 2 Entries</t>
  </si>
  <si>
    <t>Example: Multi cells</t>
  </si>
  <si>
    <r>
      <t>When using more advanced formulas you may need to nest parentheses. You can look at this like an onion, which has many layers. Excel will calculate the numbers inside the parentheses first, layer by layer, starting with the inner layer.
Example:</t>
    </r>
    <r>
      <rPr>
        <b/>
        <sz val="11"/>
        <color theme="1"/>
        <rFont val="Calibri"/>
        <family val="2"/>
        <scheme val="minor"/>
      </rPr>
      <t xml:space="preserve"> =((2*2)+(3*4)+(5*5))*2</t>
    </r>
  </si>
  <si>
    <r>
      <rPr>
        <b/>
        <sz val="11"/>
        <color theme="1"/>
        <rFont val="Calibri"/>
        <family val="2"/>
        <scheme val="minor"/>
      </rPr>
      <t>Excel Parentheses</t>
    </r>
    <r>
      <rPr>
        <sz val="11"/>
        <color theme="1"/>
        <rFont val="Calibri"/>
        <family val="2"/>
        <scheme val="minor"/>
      </rPr>
      <t xml:space="preserve">: Parentheses () is used to change the order of an operation. Example: </t>
    </r>
    <r>
      <rPr>
        <b/>
        <sz val="11"/>
        <color theme="1"/>
        <rFont val="Calibri"/>
        <family val="2"/>
        <scheme val="minor"/>
      </rPr>
      <t>=(10+5)*2</t>
    </r>
  </si>
  <si>
    <r>
      <rPr>
        <b/>
        <sz val="11"/>
        <color theme="1"/>
        <rFont val="Calibri"/>
        <family val="2"/>
        <scheme val="minor"/>
      </rPr>
      <t xml:space="preserve">Relative References </t>
    </r>
    <r>
      <rPr>
        <sz val="11"/>
        <color theme="1"/>
        <rFont val="Calibri"/>
        <family val="2"/>
        <scheme val="minor"/>
      </rPr>
      <t xml:space="preserve">&gt;&gt; References are relative by default, and are without dollar sign ($). The relative reference makes the cells reference free. 
It gives the fill function freedom to continue the order without restrictions. Example: </t>
    </r>
    <r>
      <rPr>
        <b/>
        <sz val="11"/>
        <color theme="1"/>
        <rFont val="Calibri"/>
        <family val="2"/>
        <scheme val="minor"/>
      </rPr>
      <t>=A1</t>
    </r>
  </si>
  <si>
    <r>
      <rPr>
        <b/>
        <sz val="11"/>
        <color theme="1"/>
        <rFont val="Calibri"/>
        <family val="2"/>
        <scheme val="minor"/>
      </rPr>
      <t>Excel Functions:</t>
    </r>
    <r>
      <rPr>
        <sz val="11"/>
        <color theme="1"/>
        <rFont val="Calibri"/>
        <family val="2"/>
        <scheme val="minor"/>
      </rPr>
      <t xml:space="preserve"> Excel has many premade formulas, called functions.</t>
    </r>
  </si>
  <si>
    <r>
      <rPr>
        <b/>
        <sz val="11"/>
        <color theme="1"/>
        <rFont val="Calibri"/>
        <family val="2"/>
        <scheme val="minor"/>
      </rPr>
      <t>Excel Format Grids:</t>
    </r>
    <r>
      <rPr>
        <sz val="11"/>
        <color theme="1"/>
        <rFont val="Calibri"/>
        <family val="2"/>
        <scheme val="minor"/>
      </rPr>
      <t xml:space="preserve"> By default, gridlines are displayed in Excel. 
Click view in the Ribbon navigation bar and uncheck gridlines to remove grids.</t>
    </r>
  </si>
  <si>
    <r>
      <rPr>
        <b/>
        <sz val="11"/>
        <color theme="1"/>
        <rFont val="Calibri"/>
        <family val="2"/>
        <scheme val="minor"/>
      </rPr>
      <t>Excel Format Settings</t>
    </r>
    <r>
      <rPr>
        <sz val="11"/>
        <color theme="1"/>
        <rFont val="Calibri"/>
        <family val="2"/>
        <scheme val="minor"/>
      </rPr>
      <t>: Changing Format Settings is accessed in the options part of the File menu</t>
    </r>
  </si>
  <si>
    <r>
      <rPr>
        <b/>
        <sz val="12"/>
        <color theme="1"/>
        <rFont val="Calibri"/>
        <family val="2"/>
        <scheme val="minor"/>
      </rPr>
      <t xml:space="preserve">Excel Data Analysis: </t>
    </r>
    <r>
      <rPr>
        <sz val="12"/>
        <color theme="1"/>
        <rFont val="Calibri"/>
        <family val="2"/>
        <scheme val="minor"/>
      </rPr>
      <t xml:space="preserve"> Analysis can be done by sorting, filtering, formating, applying rules and charts</t>
    </r>
  </si>
  <si>
    <r>
      <rPr>
        <b/>
        <sz val="11"/>
        <color theme="1"/>
        <rFont val="Calibri"/>
        <family val="2"/>
        <scheme val="minor"/>
      </rPr>
      <t>Excel Sorting:</t>
    </r>
    <r>
      <rPr>
        <sz val="11"/>
        <color theme="1"/>
        <rFont val="Calibri"/>
        <family val="2"/>
        <scheme val="minor"/>
      </rPr>
      <t xml:space="preserve"> Ranges can be sorted using the Sort Ascending and Sort Descending commands. The commands are found in the Ribbon under the Sort &amp; Filter menu dropdown.</t>
    </r>
  </si>
  <si>
    <r>
      <rPr>
        <b/>
        <sz val="11"/>
        <color theme="1"/>
        <rFont val="Calibri"/>
        <family val="2"/>
        <scheme val="minor"/>
      </rPr>
      <t>Excel Filter:</t>
    </r>
    <r>
      <rPr>
        <sz val="11"/>
        <color theme="1"/>
        <rFont val="Calibri"/>
        <family val="2"/>
        <scheme val="minor"/>
      </rPr>
      <t xml:space="preserve"> Filters can be applied to sort and hide data. It makes data analysis easier. It is important to have a row of headers when applying filters. Having headers is useful to make the data understandable.
New buttons have been added to the cells in the top row. This indicates that the Filter was successfully applied. 
Click the drop down menu and choose the Filter option &gt;&gt; All items are checked by default. The checked items are the ones that are shown. Uncheck to hide.</t>
    </r>
  </si>
  <si>
    <r>
      <rPr>
        <b/>
        <sz val="11"/>
        <color theme="1"/>
        <rFont val="Calibri"/>
        <family val="2"/>
        <scheme val="minor"/>
      </rPr>
      <t>Excel table:</t>
    </r>
    <r>
      <rPr>
        <sz val="11"/>
        <color theme="1"/>
        <rFont val="Calibri"/>
        <family val="2"/>
        <scheme val="minor"/>
      </rPr>
      <t xml:space="preserve"> Tables connect cells in a range and put it into a fixed structure. The cells in the table range share the same formatting. </t>
    </r>
    <r>
      <rPr>
        <sz val="11"/>
        <color rgb="FFFF0000"/>
        <rFont val="Calibri"/>
        <family val="2"/>
        <scheme val="minor"/>
      </rPr>
      <t xml:space="preserve">Click </t>
    </r>
    <r>
      <rPr>
        <b/>
        <sz val="11"/>
        <color rgb="FFFF0000"/>
        <rFont val="Calibri"/>
        <family val="2"/>
        <scheme val="minor"/>
      </rPr>
      <t>Insert</t>
    </r>
    <r>
      <rPr>
        <sz val="11"/>
        <color rgb="FFFF0000"/>
        <rFont val="Calibri"/>
        <family val="2"/>
        <scheme val="minor"/>
      </rPr>
      <t xml:space="preserve"> in the Ribbon and then</t>
    </r>
    <r>
      <rPr>
        <b/>
        <sz val="11"/>
        <color rgb="FFFF0000"/>
        <rFont val="Calibri"/>
        <family val="2"/>
        <scheme val="minor"/>
      </rPr>
      <t xml:space="preserve"> Table</t>
    </r>
    <r>
      <rPr>
        <sz val="11"/>
        <color rgb="FFFF0000"/>
        <rFont val="Calibri"/>
        <family val="2"/>
        <scheme val="minor"/>
      </rPr>
      <t>.</t>
    </r>
  </si>
  <si>
    <t>Note: Tables can be used to prepare data for charts and pivot tables.
Note: It is useful to know the table names when you have many tables in a workbook and are referring to them in formulas.
Note: The remove duplicate command will not ask for which duplicates to delete. Make sure that it does not delete useful data.</t>
  </si>
  <si>
    <r>
      <rPr>
        <b/>
        <sz val="11"/>
        <color theme="1"/>
        <rFont val="Calibri"/>
        <family val="2"/>
        <scheme val="minor"/>
      </rPr>
      <t xml:space="preserve">Table Design </t>
    </r>
    <r>
      <rPr>
        <sz val="11"/>
        <color theme="1"/>
        <rFont val="Calibri"/>
        <family val="2"/>
        <scheme val="minor"/>
      </rPr>
      <t>&gt;&gt; The menu appears when selecting a cell in the table's range. 
- Resize (</t>
    </r>
    <r>
      <rPr>
        <b/>
        <sz val="11"/>
        <color theme="1"/>
        <rFont val="Calibri"/>
        <family val="2"/>
        <scheme val="minor"/>
      </rPr>
      <t>Table Design &gt; Resize Table):</t>
    </r>
    <r>
      <rPr>
        <sz val="11"/>
        <color theme="1"/>
        <rFont val="Calibri"/>
        <family val="2"/>
        <scheme val="minor"/>
      </rPr>
      <t xml:space="preserve"> Selecting new data range for table allows to resize the table range. Example:</t>
    </r>
    <r>
      <rPr>
        <b/>
        <sz val="11"/>
        <color theme="1"/>
        <rFont val="Calibri"/>
        <family val="2"/>
        <scheme val="minor"/>
      </rPr>
      <t xml:space="preserve"> A1:F12 to A1:F20
</t>
    </r>
    <r>
      <rPr>
        <sz val="11"/>
        <color theme="1"/>
        <rFont val="Calibri"/>
        <family val="2"/>
        <scheme val="minor"/>
      </rPr>
      <t xml:space="preserve">- Remove duplicates </t>
    </r>
    <r>
      <rPr>
        <b/>
        <sz val="11"/>
        <color theme="1"/>
        <rFont val="Calibri"/>
        <family val="2"/>
        <scheme val="minor"/>
      </rPr>
      <t>(Table Design &gt; Remove Duplicates):</t>
    </r>
    <r>
      <rPr>
        <sz val="11"/>
        <color theme="1"/>
        <rFont val="Calibri"/>
        <family val="2"/>
        <scheme val="minor"/>
      </rPr>
      <t xml:space="preserve"> Removing duplicates are helpful when cleaning a dataset and you do not want to include copies.
- Convert to range </t>
    </r>
    <r>
      <rPr>
        <b/>
        <sz val="11"/>
        <color theme="1"/>
        <rFont val="Calibri"/>
        <family val="2"/>
        <scheme val="minor"/>
      </rPr>
      <t xml:space="preserve">(Table Design &gt; Convert to Range): </t>
    </r>
    <r>
      <rPr>
        <sz val="11"/>
        <color theme="1"/>
        <rFont val="Calibri"/>
        <family val="2"/>
        <scheme val="minor"/>
      </rPr>
      <t xml:space="preserve">Tables can be reversed and converted back to range. It no longer has the table options available.
- Style options </t>
    </r>
    <r>
      <rPr>
        <b/>
        <sz val="11"/>
        <color theme="1"/>
        <rFont val="Calibri"/>
        <family val="2"/>
        <scheme val="minor"/>
      </rPr>
      <t>(Table Design &gt; Table Styles)</t>
    </r>
    <r>
      <rPr>
        <sz val="11"/>
        <color theme="1"/>
        <rFont val="Calibri"/>
        <family val="2"/>
        <scheme val="minor"/>
      </rPr>
      <t xml:space="preserve"> Options to select different styles (Total row, Header row, Banded row etc..)</t>
    </r>
  </si>
  <si>
    <t>Conditional Formatting Example</t>
  </si>
  <si>
    <t>Name</t>
  </si>
  <si>
    <t>Type</t>
  </si>
  <si>
    <t>Grass</t>
  </si>
  <si>
    <t>Fire</t>
  </si>
  <si>
    <t>Water</t>
  </si>
  <si>
    <t>Speed</t>
  </si>
  <si>
    <t>N</t>
  </si>
  <si>
    <t>Click on the Conditional Formatting icon in the ribbon</t>
  </si>
  <si>
    <t>Dark green is used for the highest values, and dark red for the lowest values.</t>
  </si>
  <si>
    <r>
      <rPr>
        <b/>
        <sz val="11"/>
        <color theme="1"/>
        <rFont val="Calibri"/>
        <family val="2"/>
        <scheme val="minor"/>
      </rPr>
      <t>Excel Conditional formatting:</t>
    </r>
    <r>
      <rPr>
        <sz val="11"/>
        <color theme="1"/>
        <rFont val="Calibri"/>
        <family val="2"/>
        <scheme val="minor"/>
      </rPr>
      <t xml:space="preserve"> It is used to change the appearance of cells in a range based on your specified conditions. Used for visual data analysis.
</t>
    </r>
    <r>
      <rPr>
        <b/>
        <sz val="11"/>
        <color theme="1"/>
        <rFont val="Calibri"/>
        <family val="2"/>
        <scheme val="minor"/>
      </rPr>
      <t>Home &gt; Conditional Formatting &gt; Color Scales</t>
    </r>
    <r>
      <rPr>
        <sz val="11"/>
        <color theme="1"/>
        <rFont val="Calibri"/>
        <family val="2"/>
        <scheme val="minor"/>
      </rPr>
      <t>: The conditions are rules based on specified numerical values or matching text. All the cells in the range gradually change color from green, yellow, orange, then red.</t>
    </r>
  </si>
  <si>
    <r>
      <rPr>
        <b/>
        <sz val="11"/>
        <color theme="1"/>
        <rFont val="Calibri"/>
        <family val="2"/>
        <scheme val="minor"/>
      </rPr>
      <t>Excel Highlight Cell Rules:</t>
    </r>
    <r>
      <rPr>
        <sz val="11"/>
        <color theme="1"/>
        <rFont val="Calibri"/>
        <family val="2"/>
        <scheme val="minor"/>
      </rPr>
      <t xml:space="preserve"> Highlight Cell Rules is a premade type of conditional formatting in Excel used to change the appearance of cells in a range based on your specified conditions.
The conditions are rules based on specified numerical values, matching text, calendar dates, or duplicated and unique values.</t>
    </r>
  </si>
  <si>
    <r>
      <t xml:space="preserve">Select the range that needs formating. </t>
    </r>
    <r>
      <rPr>
        <b/>
        <sz val="11"/>
        <color theme="1"/>
        <rFont val="Calibri"/>
        <family val="2"/>
        <scheme val="minor"/>
      </rPr>
      <t>Example: F3:F8</t>
    </r>
  </si>
  <si>
    <r>
      <t xml:space="preserve">Select the </t>
    </r>
    <r>
      <rPr>
        <b/>
        <sz val="11"/>
        <color theme="1"/>
        <rFont val="Calibri"/>
        <family val="2"/>
        <scheme val="minor"/>
      </rPr>
      <t>Color Scales</t>
    </r>
    <r>
      <rPr>
        <sz val="11"/>
        <color theme="1"/>
        <rFont val="Calibri"/>
        <family val="2"/>
        <scheme val="minor"/>
      </rPr>
      <t xml:space="preserve"> from the drop-down menu</t>
    </r>
  </si>
  <si>
    <t>Light Red Fill with Dark Red Text</t>
  </si>
  <si>
    <t>Yellow Fill with Dark Yellow Text</t>
  </si>
  <si>
    <t>Green Fill with Dark Green Text</t>
  </si>
  <si>
    <t>Light Red Fill</t>
  </si>
  <si>
    <t>Red Text</t>
  </si>
  <si>
    <t>Red Border</t>
  </si>
  <si>
    <t>Type 1</t>
  </si>
  <si>
    <t>HP</t>
  </si>
  <si>
    <t>Attack</t>
  </si>
  <si>
    <t>Defense</t>
  </si>
  <si>
    <t>Sp. Atk</t>
  </si>
  <si>
    <t>Sp. Def</t>
  </si>
  <si>
    <t>Electric</t>
  </si>
  <si>
    <t>Magikarp</t>
  </si>
  <si>
    <t>Gyarados</t>
  </si>
  <si>
    <t>Lapras</t>
  </si>
  <si>
    <t>Ditto</t>
  </si>
  <si>
    <t>Eevee</t>
  </si>
  <si>
    <t>Vaporeon</t>
  </si>
  <si>
    <t>Jolteon</t>
  </si>
  <si>
    <t>Home &gt; Conditional Formatting &gt; Highlight Cells Rules &gt; Text that contains</t>
  </si>
  <si>
    <t>Highlight Cell Rules (HCR)</t>
  </si>
  <si>
    <r>
      <t>Select the range</t>
    </r>
    <r>
      <rPr>
        <b/>
        <sz val="11"/>
        <color theme="1"/>
        <rFont val="Calibri"/>
        <family val="2"/>
        <scheme val="minor"/>
      </rPr>
      <t xml:space="preserve"> E20:J26 </t>
    </r>
    <r>
      <rPr>
        <sz val="11"/>
        <color theme="1"/>
        <rFont val="Calibri"/>
        <family val="2"/>
        <scheme val="minor"/>
      </rPr>
      <t>for all of the stat values</t>
    </r>
  </si>
  <si>
    <t>Click on the Conditional Formatting icon on the ribbon</t>
  </si>
  <si>
    <t>This will open a dialog box where you can specify the value and the appearance option.</t>
  </si>
  <si>
    <t>Highlight Cell Rule will highlight a cell based on the cell value being equal to your specified value (Numeric/Text)</t>
  </si>
  <si>
    <t>"Equal To..." | "Greater Than..." | "Less Than..." | "Between..."</t>
  </si>
  <si>
    <r>
      <t xml:space="preserve">Select the </t>
    </r>
    <r>
      <rPr>
        <b/>
        <sz val="11"/>
        <color theme="1"/>
        <rFont val="Calibri"/>
        <family val="2"/>
        <scheme val="minor"/>
      </rPr>
      <t>Highlight Cell Rules</t>
    </r>
    <r>
      <rPr>
        <sz val="11"/>
        <color theme="1"/>
        <rFont val="Calibri"/>
        <family val="2"/>
        <scheme val="minor"/>
      </rPr>
      <t xml:space="preserve"> from the drop-down menu </t>
    </r>
  </si>
  <si>
    <t>Click any one option ("Equal To..." | "Greater Than..." | "Less Than..." | "Between...")</t>
  </si>
  <si>
    <t>Enter numeric/texts into the input field</t>
  </si>
  <si>
    <t>Select the appearance option "Yellow Fill with Dark Yellow Text" from the dropdown menu &gt; Click OK</t>
  </si>
  <si>
    <t>Equal To</t>
  </si>
  <si>
    <t>Less Than</t>
  </si>
  <si>
    <t>Greater Than</t>
  </si>
  <si>
    <t>Between</t>
  </si>
  <si>
    <t>60-75</t>
  </si>
  <si>
    <t>water</t>
  </si>
  <si>
    <t>Date</t>
  </si>
  <si>
    <t>Last Week</t>
  </si>
  <si>
    <t>Next Month</t>
  </si>
  <si>
    <t>Date HCR</t>
  </si>
  <si>
    <t>A Date Occurring…</t>
  </si>
  <si>
    <r>
      <rPr>
        <b/>
        <sz val="11"/>
        <color theme="1"/>
        <rFont val="Calibri"/>
        <family val="2"/>
        <scheme val="minor"/>
      </rPr>
      <t xml:space="preserve">"Equal To..." | "Greater Than..." | "Less Than..." | "Between...": </t>
    </r>
    <r>
      <rPr>
        <sz val="11"/>
        <color theme="1"/>
        <rFont val="Calibri"/>
        <family val="2"/>
        <scheme val="minor"/>
      </rPr>
      <t xml:space="preserve"> highlight cell rule will highlight a cell with one of the appearance options based on the cell value according to specified value.</t>
    </r>
  </si>
  <si>
    <t>Excel Top/Bottom Rules</t>
  </si>
  <si>
    <t>Bug</t>
  </si>
  <si>
    <t>Normal</t>
  </si>
  <si>
    <t>Poison</t>
  </si>
  <si>
    <t>Ground</t>
  </si>
  <si>
    <t xml:space="preserve">    </t>
  </si>
  <si>
    <t>Bulbasaur</t>
  </si>
  <si>
    <t>Ivysaur</t>
  </si>
  <si>
    <t>Venusaur</t>
  </si>
  <si>
    <t>Charmander</t>
  </si>
  <si>
    <t>Charmeleon</t>
  </si>
  <si>
    <t>Charizard</t>
  </si>
  <si>
    <t>Squirtle</t>
  </si>
  <si>
    <t>Wartortle</t>
  </si>
  <si>
    <t>Blastoise</t>
  </si>
  <si>
    <t>Caterpie</t>
  </si>
  <si>
    <t>Metapod</t>
  </si>
  <si>
    <t>Butterfree</t>
  </si>
  <si>
    <t>Weedle</t>
  </si>
  <si>
    <t>Kakuna</t>
  </si>
  <si>
    <t>Rattata</t>
  </si>
  <si>
    <t>Raticate</t>
  </si>
  <si>
    <t>Spearow</t>
  </si>
  <si>
    <t>Fearow</t>
  </si>
  <si>
    <t>Ekans</t>
  </si>
  <si>
    <t>Arbok</t>
  </si>
  <si>
    <t>Pikachu</t>
  </si>
  <si>
    <t>Raichu</t>
  </si>
  <si>
    <t>Sandshrew</t>
  </si>
  <si>
    <t>Sandslash</t>
  </si>
  <si>
    <t>Nidoran</t>
  </si>
  <si>
    <t>Nidorina</t>
  </si>
  <si>
    <r>
      <rPr>
        <b/>
        <sz val="11"/>
        <color theme="1"/>
        <rFont val="Calibri"/>
        <family val="2"/>
        <scheme val="minor"/>
      </rPr>
      <t>Excel Top/Bottom Rules</t>
    </r>
    <r>
      <rPr>
        <sz val="11"/>
        <color theme="1"/>
        <rFont val="Calibri"/>
        <family val="2"/>
        <scheme val="minor"/>
      </rPr>
      <t xml:space="preserve"> are premade types of conditional formatting in Excel used to change the appearance of cells in a range based on your specified conditions. 
</t>
    </r>
    <r>
      <rPr>
        <b/>
        <sz val="11"/>
        <color theme="1"/>
        <rFont val="Calibri"/>
        <family val="2"/>
        <scheme val="minor"/>
      </rPr>
      <t xml:space="preserve">Home &gt; Conditional Formatting &gt; Top/Bottom Rules </t>
    </r>
  </si>
  <si>
    <t>Below Average</t>
  </si>
  <si>
    <t>Above Average</t>
  </si>
  <si>
    <t>Average</t>
  </si>
  <si>
    <r>
      <rPr>
        <b/>
        <sz val="11"/>
        <color theme="1"/>
        <rFont val="Calibri"/>
        <family val="2"/>
        <scheme val="minor"/>
      </rPr>
      <t>Excel Data Bars</t>
    </r>
    <r>
      <rPr>
        <sz val="11"/>
        <color theme="1"/>
        <rFont val="Calibri"/>
        <family val="2"/>
        <scheme val="minor"/>
      </rPr>
      <t xml:space="preserve"> are premade types of conditional formatting in Excel used to add colored bars to cells in a range to indicate how large the cell values are compared to the other values.</t>
    </r>
  </si>
  <si>
    <t>Data Bars</t>
  </si>
  <si>
    <t>Top/Bottom Rules</t>
  </si>
  <si>
    <t xml:space="preserve">Color Scales </t>
  </si>
  <si>
    <t>Icon Sets</t>
  </si>
  <si>
    <r>
      <t xml:space="preserve">Note: You can remove the Highlight Cell Rules with Manage Rules. Conditional Formatting rules can be managed and removed using the </t>
    </r>
    <r>
      <rPr>
        <b/>
        <sz val="11"/>
        <color theme="1"/>
        <rFont val="Calibri"/>
        <family val="2"/>
        <scheme val="minor"/>
      </rPr>
      <t>Clear Rules</t>
    </r>
    <r>
      <rPr>
        <sz val="11"/>
        <color theme="1"/>
        <rFont val="Calibri"/>
        <family val="2"/>
        <scheme val="minor"/>
      </rPr>
      <t xml:space="preserve"> and </t>
    </r>
    <r>
      <rPr>
        <b/>
        <sz val="11"/>
        <color theme="1"/>
        <rFont val="Calibri"/>
        <family val="2"/>
        <scheme val="minor"/>
      </rPr>
      <t>Manage Rules</t>
    </r>
    <r>
      <rPr>
        <sz val="11"/>
        <color theme="1"/>
        <rFont val="Calibri"/>
        <family val="2"/>
        <scheme val="minor"/>
      </rPr>
      <t xml:space="preserve"> features.</t>
    </r>
  </si>
  <si>
    <r>
      <t xml:space="preserve">You can remove all the rules from a selected range of cells or from the entire spreadsheet using the </t>
    </r>
    <r>
      <rPr>
        <b/>
        <sz val="11"/>
        <color theme="1"/>
        <rFont val="Calibri"/>
        <family val="2"/>
        <scheme val="minor"/>
      </rPr>
      <t>Clear Rules</t>
    </r>
    <r>
      <rPr>
        <sz val="11"/>
        <color theme="1"/>
        <rFont val="Calibri"/>
        <family val="2"/>
        <scheme val="minor"/>
      </rPr>
      <t xml:space="preserve"> options.</t>
    </r>
  </si>
  <si>
    <t>Manage Rules…</t>
  </si>
  <si>
    <t>You can also use the Manage Rules menu option to delete or edit conditional formatting rules.</t>
  </si>
  <si>
    <r>
      <rPr>
        <b/>
        <sz val="11"/>
        <color theme="1"/>
        <rFont val="Calibri"/>
        <family val="2"/>
        <scheme val="minor"/>
      </rPr>
      <t>Excel Charts</t>
    </r>
    <r>
      <rPr>
        <sz val="11"/>
        <color theme="1"/>
        <rFont val="Calibri"/>
        <family val="2"/>
        <scheme val="minor"/>
      </rPr>
      <t xml:space="preserve"> are visual representations of data used to make it more understandable.</t>
    </r>
  </si>
  <si>
    <t>1. Pie chart</t>
  </si>
  <si>
    <t>3. Line chart</t>
  </si>
  <si>
    <t>2. Column chart | Bar chart</t>
  </si>
  <si>
    <t>Changing The Chart Title</t>
  </si>
  <si>
    <t>The default chart title in Excel is "Chart Title". This is not informative. The title should describe the chart.</t>
  </si>
  <si>
    <r>
      <t xml:space="preserve">Double click on the chart and click on </t>
    </r>
    <r>
      <rPr>
        <b/>
        <sz val="11"/>
        <color theme="1"/>
        <rFont val="Calibri"/>
        <family val="2"/>
        <scheme val="minor"/>
      </rPr>
      <t>+</t>
    </r>
    <r>
      <rPr>
        <sz val="11"/>
        <color theme="1"/>
        <rFont val="Calibri"/>
        <family val="2"/>
        <scheme val="minor"/>
      </rPr>
      <t xml:space="preserve"> to format or customize it.</t>
    </r>
  </si>
  <si>
    <r>
      <rPr>
        <b/>
        <sz val="14"/>
        <color theme="1"/>
        <rFont val="Calibri"/>
        <family val="2"/>
        <scheme val="minor"/>
      </rPr>
      <t>Insert &gt;&gt; Charts</t>
    </r>
    <r>
      <rPr>
        <sz val="14"/>
        <color theme="1"/>
        <rFont val="Calibri"/>
        <family val="2"/>
        <scheme val="minor"/>
      </rPr>
      <t xml:space="preserve"> </t>
    </r>
    <r>
      <rPr>
        <sz val="11"/>
        <color theme="1"/>
        <rFont val="Calibri"/>
        <family val="2"/>
        <scheme val="minor"/>
      </rPr>
      <t>are visual representations of data used to make it more understandable. Commonly used charts are:</t>
    </r>
  </si>
  <si>
    <r>
      <rPr>
        <b/>
        <sz val="14"/>
        <color theme="1"/>
        <rFont val="Calibri"/>
        <family val="2"/>
        <scheme val="minor"/>
      </rPr>
      <t xml:space="preserve">Pivot Table </t>
    </r>
    <r>
      <rPr>
        <sz val="11"/>
        <color theme="1"/>
        <rFont val="Calibri"/>
        <family val="2"/>
        <scheme val="minor"/>
      </rPr>
      <t>is a functionality in Excel which helps you organize and analyze large data sets</t>
    </r>
  </si>
  <si>
    <r>
      <t xml:space="preserve"> It allows to </t>
    </r>
    <r>
      <rPr>
        <sz val="11"/>
        <color theme="1"/>
        <rFont val="Calibri"/>
        <family val="2"/>
        <scheme val="minor"/>
      </rPr>
      <t>add and remove values, perform calculations, and to filter and sort data sets.</t>
    </r>
  </si>
  <si>
    <t>The Pivot Table Fields panel is used to change how to show the data. The settings can be separated in two: Fields and Layout.</t>
  </si>
  <si>
    <t>Click on A1 cell &gt;&gt; click Insert on the top ribbon &gt; click Pivot table and then select the fields that wants to show in pivot table</t>
  </si>
  <si>
    <r>
      <t xml:space="preserve">Remove Pivot Table  </t>
    </r>
    <r>
      <rPr>
        <sz val="11"/>
        <color theme="1"/>
        <rFont val="Calibri"/>
        <family val="2"/>
        <scheme val="minor"/>
      </rPr>
      <t>by selecting the entire PivotTable and pressing Delete key to remove</t>
    </r>
  </si>
  <si>
    <t>Item price</t>
  </si>
  <si>
    <t xml:space="preserve">Price   </t>
  </si>
  <si>
    <t>Shop cart</t>
  </si>
  <si>
    <t>Pokeball</t>
  </si>
  <si>
    <t>Great ball</t>
  </si>
  <si>
    <t>Ultra ball</t>
  </si>
  <si>
    <t>Potion</t>
  </si>
  <si>
    <t>Super potion</t>
  </si>
  <si>
    <t>Hyper potion</t>
  </si>
  <si>
    <t>Antidote</t>
  </si>
  <si>
    <t>Subtotal</t>
  </si>
  <si>
    <t>Discount</t>
  </si>
  <si>
    <t>Prices for items (E73:E79)</t>
  </si>
  <si>
    <t>Sub total (D81)</t>
  </si>
  <si>
    <t>Add discount (D82)</t>
  </si>
  <si>
    <t>Total price (D84)</t>
  </si>
  <si>
    <t>Discount %</t>
  </si>
  <si>
    <r>
      <rPr>
        <b/>
        <sz val="11"/>
        <color theme="1"/>
        <rFont val="Calibri"/>
        <family val="2"/>
        <scheme val="minor"/>
      </rPr>
      <t>Pivot Table</t>
    </r>
    <r>
      <rPr>
        <sz val="11"/>
        <color theme="1"/>
        <rFont val="Calibri"/>
        <family val="2"/>
        <scheme val="minor"/>
      </rPr>
      <t xml:space="preserve"> is a functionality in Excel which helps you organize and analyze large data sets</t>
    </r>
  </si>
  <si>
    <t>Complete the following to solve the case:</t>
  </si>
  <si>
    <t xml:space="preserve">    Name</t>
  </si>
  <si>
    <t>Fire Type AND more than 70 Speed</t>
  </si>
  <si>
    <t xml:space="preserve">    Bulbasaur</t>
  </si>
  <si>
    <t xml:space="preserve">    Ivysaur</t>
  </si>
  <si>
    <t xml:space="preserve">    Venusaur</t>
  </si>
  <si>
    <t xml:space="preserve">    Charmander</t>
  </si>
  <si>
    <t xml:space="preserve">    Charmeleon</t>
  </si>
  <si>
    <t xml:space="preserve">    Charizard</t>
  </si>
  <si>
    <t xml:space="preserve">    Squirtle</t>
  </si>
  <si>
    <t xml:space="preserve">    Wartortle</t>
  </si>
  <si>
    <t xml:space="preserve">    Blastoise</t>
  </si>
  <si>
    <t>Types</t>
  </si>
  <si>
    <r>
      <rPr>
        <b/>
        <sz val="11"/>
        <color theme="1"/>
        <rFont val="Calibri"/>
        <family val="2"/>
        <scheme val="minor"/>
      </rPr>
      <t>AND Functions</t>
    </r>
    <r>
      <rPr>
        <sz val="11"/>
        <color theme="1"/>
        <rFont val="Calibri"/>
        <family val="2"/>
        <scheme val="minor"/>
      </rPr>
      <t xml:space="preserve">: It is a premade function in Excel, which returns TRUE or FALSE based on two or more conditions. </t>
    </r>
    <r>
      <rPr>
        <b/>
        <sz val="11"/>
        <color theme="1"/>
        <rFont val="Calibri"/>
        <family val="2"/>
        <scheme val="minor"/>
      </rPr>
      <t>Note:</t>
    </r>
    <r>
      <rPr>
        <sz val="11"/>
        <color theme="1"/>
        <rFont val="Calibri"/>
        <family val="2"/>
        <scheme val="minor"/>
      </rPr>
      <t xml:space="preserve"> The AND function is often used together with the IF function.
The IF function is typed =IF and has 3 parts: </t>
    </r>
    <r>
      <rPr>
        <b/>
        <sz val="11"/>
        <color theme="1"/>
        <rFont val="Calibri"/>
        <family val="2"/>
        <scheme val="minor"/>
      </rPr>
      <t>=IF(logical_test, [value_if_true], [value_if_false])</t>
    </r>
    <r>
      <rPr>
        <sz val="11"/>
        <color theme="1"/>
        <rFont val="Calibri"/>
        <family val="2"/>
        <scheme val="minor"/>
      </rPr>
      <t xml:space="preserve">
</t>
    </r>
    <r>
      <rPr>
        <b/>
        <sz val="11"/>
        <rFont val="Calibri"/>
        <family val="2"/>
        <scheme val="minor"/>
      </rPr>
      <t>T, T = T     /     T, F = F    /     F, T = F    /    F, F = F</t>
    </r>
  </si>
  <si>
    <r>
      <rPr>
        <b/>
        <sz val="11"/>
        <color theme="1"/>
        <rFont val="Calibri"/>
        <family val="2"/>
        <scheme val="minor"/>
      </rPr>
      <t>OR Functions</t>
    </r>
    <r>
      <rPr>
        <sz val="11"/>
        <color theme="1"/>
        <rFont val="Calibri"/>
        <family val="2"/>
        <scheme val="minor"/>
      </rPr>
      <t xml:space="preserve">: It is a premade function in Excel, which returns TRUE or FALSE based on two or more conditions. </t>
    </r>
    <r>
      <rPr>
        <b/>
        <sz val="11"/>
        <color theme="1"/>
        <rFont val="Calibri"/>
        <family val="2"/>
        <scheme val="minor"/>
      </rPr>
      <t>Note:</t>
    </r>
    <r>
      <rPr>
        <sz val="11"/>
        <color theme="1"/>
        <rFont val="Calibri"/>
        <family val="2"/>
        <scheme val="minor"/>
      </rPr>
      <t xml:space="preserve"> The AND function is often used together with the IF function.
The IF function is typed =IF and has 3 parts: </t>
    </r>
    <r>
      <rPr>
        <b/>
        <sz val="11"/>
        <color theme="1"/>
        <rFont val="Calibri"/>
        <family val="2"/>
        <scheme val="minor"/>
      </rPr>
      <t>=IF(logical_test, [value_if_true], [value_if_false])</t>
    </r>
    <r>
      <rPr>
        <sz val="11"/>
        <color theme="1"/>
        <rFont val="Calibri"/>
        <family val="2"/>
        <scheme val="minor"/>
      </rPr>
      <t xml:space="preserve">
</t>
    </r>
    <r>
      <rPr>
        <b/>
        <sz val="11"/>
        <rFont val="Calibri"/>
        <family val="2"/>
        <scheme val="minor"/>
      </rPr>
      <t>T, T = T     /     T, F = T    /     F, T = T    /    F, F = F</t>
    </r>
  </si>
  <si>
    <t>Fire Type OR more than 70 Speed</t>
  </si>
  <si>
    <t xml:space="preserve">AND Functions </t>
  </si>
  <si>
    <t>=AND(B4="Fire",C4&gt;70)</t>
  </si>
  <si>
    <t>OR Functions</t>
  </si>
  <si>
    <t>=OR(B4="Fire",C4&gt;70)</t>
  </si>
  <si>
    <t>EXCEL Functions</t>
  </si>
  <si>
    <t>=IF(AND(B18="Fire",C18&gt;=70),"Yes","No")</t>
  </si>
  <si>
    <r>
      <t xml:space="preserve">Note: The </t>
    </r>
    <r>
      <rPr>
        <b/>
        <sz val="11"/>
        <color theme="1"/>
        <rFont val="Calibri"/>
        <family val="2"/>
        <scheme val="minor"/>
      </rPr>
      <t>AND/OR</t>
    </r>
    <r>
      <rPr>
        <sz val="11"/>
        <color theme="1"/>
        <rFont val="Calibri"/>
        <family val="2"/>
        <scheme val="minor"/>
      </rPr>
      <t xml:space="preserve"> function is often used together with the IF function. =IF(logical_test, [value_if_true], [value_if_false])</t>
    </r>
  </si>
  <si>
    <t>=IF(OR(B18="Fire",C18&gt;=70),"Yes","No")</t>
  </si>
  <si>
    <t>AVERAGE Functions</t>
  </si>
  <si>
    <t xml:space="preserve">    Trainer</t>
  </si>
  <si>
    <t>Great Ball</t>
  </si>
  <si>
    <t>Master Ball</t>
  </si>
  <si>
    <t xml:space="preserve">    Iva</t>
  </si>
  <si>
    <t xml:space="preserve">    Liam</t>
  </si>
  <si>
    <t xml:space="preserve">    Jenny</t>
  </si>
  <si>
    <t xml:space="preserve">    Iben</t>
  </si>
  <si>
    <t xml:space="preserve">    Adora</t>
  </si>
  <si>
    <t xml:space="preserve">    Kasper</t>
  </si>
  <si>
    <t>=AVERAGE(H4:K4)</t>
  </si>
  <si>
    <t>Hi</t>
  </si>
  <si>
    <t>Average command and select range</t>
  </si>
  <si>
    <t>AVERAGEIF Functions</t>
  </si>
  <si>
    <t>Type average</t>
  </si>
  <si>
    <t>=AVERAGEIF(H$11:H$19, K12, I$11:I$19)</t>
  </si>
  <si>
    <t>Total stats</t>
  </si>
  <si>
    <t xml:space="preserve">    Poliwrath</t>
  </si>
  <si>
    <t xml:space="preserve">    Victreebel</t>
  </si>
  <si>
    <t xml:space="preserve">    Tentacool</t>
  </si>
  <si>
    <t xml:space="preserve">    Magneton</t>
  </si>
  <si>
    <t xml:space="preserve">    Dewgong</t>
  </si>
  <si>
    <t xml:space="preserve">    Cloyster</t>
  </si>
  <si>
    <t xml:space="preserve">    Onix</t>
  </si>
  <si>
    <t>Rock</t>
  </si>
  <si>
    <t xml:space="preserve">    Dragonair</t>
  </si>
  <si>
    <t xml:space="preserve">    Pidgeotto</t>
  </si>
  <si>
    <t xml:space="preserve">    Rattata</t>
  </si>
  <si>
    <t xml:space="preserve">    Beedrill</t>
  </si>
  <si>
    <t xml:space="preserve">    Doduo</t>
  </si>
  <si>
    <t xml:space="preserve">    Kingler</t>
  </si>
  <si>
    <t xml:space="preserve">    Nidoqueen</t>
  </si>
  <si>
    <t xml:space="preserve">    Hitmonchan</t>
  </si>
  <si>
    <t xml:space="preserve">    Arbok</t>
  </si>
  <si>
    <t xml:space="preserve">    Gastly</t>
  </si>
  <si>
    <t xml:space="preserve">    Magikarp</t>
  </si>
  <si>
    <t>Mankey</t>
  </si>
  <si>
    <t xml:space="preserve">  Name</t>
  </si>
  <si>
    <t xml:space="preserve">  Bulbasaur</t>
  </si>
  <si>
    <t xml:space="preserve">  Ivysaur</t>
  </si>
  <si>
    <t xml:space="preserve">  Venusaur</t>
  </si>
  <si>
    <t xml:space="preserve">  Charmander</t>
  </si>
  <si>
    <t xml:space="preserve">  Charmeleon</t>
  </si>
  <si>
    <t xml:space="preserve">  Charizard</t>
  </si>
  <si>
    <t xml:space="preserve">  Squirtle</t>
  </si>
  <si>
    <t xml:space="preserve">  Wartortle</t>
  </si>
  <si>
    <t xml:space="preserve">  Blastoise</t>
  </si>
  <si>
    <t xml:space="preserve">  </t>
  </si>
  <si>
    <t>Below 400</t>
  </si>
  <si>
    <t>Above 400</t>
  </si>
  <si>
    <r>
      <rPr>
        <b/>
        <sz val="11"/>
        <color theme="1"/>
        <rFont val="Calibri"/>
        <family val="2"/>
        <scheme val="minor"/>
      </rPr>
      <t>AVERAGEIF</t>
    </r>
    <r>
      <rPr>
        <sz val="11"/>
        <color theme="1"/>
        <rFont val="Calibri"/>
        <family val="2"/>
        <scheme val="minor"/>
      </rPr>
      <t xml:space="preserve"> function is a premade function in Excel, which calculates the average of a range based on a true or false condition. It has 3 parts:
=AVERAGEIF(range, criteria, [average_range])</t>
    </r>
  </si>
  <si>
    <r>
      <rPr>
        <b/>
        <sz val="11"/>
        <color theme="1"/>
        <rFont val="Calibri"/>
        <family val="2"/>
        <scheme val="minor"/>
      </rPr>
      <t>TRIM</t>
    </r>
    <r>
      <rPr>
        <sz val="11"/>
        <color theme="1"/>
        <rFont val="Calibri"/>
        <family val="2"/>
        <scheme val="minor"/>
      </rPr>
      <t xml:space="preserve"> function is premade in Excel and used to remove irregular text spacing and keep single spaces between words.</t>
    </r>
    <r>
      <rPr>
        <b/>
        <sz val="11"/>
        <color theme="1"/>
        <rFont val="Calibri"/>
        <family val="2"/>
        <scheme val="minor"/>
      </rPr>
      <t xml:space="preserve"> </t>
    </r>
    <r>
      <rPr>
        <sz val="11"/>
        <color theme="1"/>
        <rFont val="Calibri"/>
        <family val="2"/>
        <scheme val="minor"/>
      </rPr>
      <t>Use Trim to tidy up irregular spaces in the dataset within the range</t>
    </r>
    <r>
      <rPr>
        <b/>
        <sz val="11"/>
        <color theme="1"/>
        <rFont val="Calibri"/>
        <family val="2"/>
        <scheme val="minor"/>
      </rPr>
      <t xml:space="preserve">
=TRIM(cell) 
=TRIM(start cell:end cell)</t>
    </r>
  </si>
  <si>
    <r>
      <t>Copy the trimmed cell and</t>
    </r>
    <r>
      <rPr>
        <b/>
        <sz val="11"/>
        <color theme="1"/>
        <rFont val="Calibri"/>
        <family val="2"/>
        <scheme val="minor"/>
      </rPr>
      <t xml:space="preserve"> paste the value</t>
    </r>
    <r>
      <rPr>
        <sz val="11"/>
        <color theme="1"/>
        <rFont val="Calibri"/>
        <family val="2"/>
        <scheme val="minor"/>
      </rPr>
      <t xml:space="preserve"> to desired cell</t>
    </r>
  </si>
  <si>
    <r>
      <rPr>
        <b/>
        <sz val="11"/>
        <color theme="1"/>
        <rFont val="Calibri"/>
        <family val="2"/>
        <scheme val="minor"/>
      </rPr>
      <t>CONCAT</t>
    </r>
    <r>
      <rPr>
        <sz val="11"/>
        <color theme="1"/>
        <rFont val="Calibri"/>
        <family val="2"/>
        <scheme val="minor"/>
      </rPr>
      <t xml:space="preserve"> function is used to link multiple cells without adding any delimiters between the combined cell values. CONCAT function accepts cell values of both text and numbers. </t>
    </r>
    <r>
      <rPr>
        <b/>
        <sz val="11"/>
        <color theme="1"/>
        <rFont val="Calibri"/>
        <family val="2"/>
        <scheme val="minor"/>
      </rPr>
      <t>=CONCAT(cell1, delimiter, cell2)</t>
    </r>
    <r>
      <rPr>
        <sz val="11"/>
        <color theme="1"/>
        <rFont val="Calibri"/>
        <family val="2"/>
        <scheme val="minor"/>
      </rPr>
      <t xml:space="preserve">
Note: Delimiters are spacing or symbols used to seperate content elements apart from each other. Examples: comma , semicolon ; quotes " or ' braces {} pipes | slashes / \ inside of quotation marks to create a delimiter (" ")</t>
    </r>
  </si>
  <si>
    <r>
      <rPr>
        <b/>
        <sz val="11"/>
        <color theme="1"/>
        <rFont val="Calibri"/>
        <family val="2"/>
        <scheme val="minor"/>
      </rPr>
      <t>AVERAGE</t>
    </r>
    <r>
      <rPr>
        <sz val="11"/>
        <color theme="1"/>
        <rFont val="Calibri"/>
        <family val="2"/>
        <scheme val="minor"/>
      </rPr>
      <t xml:space="preserve"> function is a premade function in Excel, which calculates the average (arithmetic mean).</t>
    </r>
    <r>
      <rPr>
        <b/>
        <sz val="11"/>
        <color theme="1"/>
        <rFont val="Calibri"/>
        <family val="2"/>
        <scheme val="minor"/>
      </rPr>
      <t xml:space="preserve"> It adds the range and divides it by the count number.</t>
    </r>
    <r>
      <rPr>
        <sz val="11"/>
        <color theme="1"/>
        <rFont val="Calibri"/>
        <family val="2"/>
        <scheme val="minor"/>
      </rPr>
      <t xml:space="preserve"> Example: sum of the observations (2 + 3 + 4 = 9)/3 = 3
The function ignores cells with text and completes the calculation with numbers only. =AVERAGE(range)</t>
    </r>
  </si>
  <si>
    <r>
      <rPr>
        <b/>
        <sz val="11"/>
        <color theme="1"/>
        <rFont val="Calibri"/>
        <family val="2"/>
        <scheme val="minor"/>
      </rPr>
      <t xml:space="preserve">COUNT </t>
    </r>
    <r>
      <rPr>
        <sz val="11"/>
        <color theme="1"/>
        <rFont val="Calibri"/>
        <family val="2"/>
        <scheme val="minor"/>
      </rPr>
      <t xml:space="preserve">function is a premade function in Excel, which counts cells with numbers in a range. Example: </t>
    </r>
    <r>
      <rPr>
        <b/>
        <sz val="11"/>
        <color theme="1"/>
        <rFont val="Calibri"/>
        <family val="2"/>
        <scheme val="minor"/>
      </rPr>
      <t>=COUNT(A2:A20)</t>
    </r>
  </si>
  <si>
    <r>
      <rPr>
        <b/>
        <sz val="11"/>
        <color theme="1"/>
        <rFont val="Calibri"/>
        <family val="2"/>
        <scheme val="minor"/>
      </rPr>
      <t>COUNTA</t>
    </r>
    <r>
      <rPr>
        <sz val="11"/>
        <color theme="1"/>
        <rFont val="Calibri"/>
        <family val="2"/>
        <scheme val="minor"/>
      </rPr>
      <t xml:space="preserve"> function is a premade function in Excel, which counts all cells in a range that has values, both numbers and letters. Example: </t>
    </r>
    <r>
      <rPr>
        <b/>
        <sz val="11"/>
        <color theme="1"/>
        <rFont val="Calibri"/>
        <family val="2"/>
        <scheme val="minor"/>
      </rPr>
      <t>=COUNTA(A2:B20)</t>
    </r>
  </si>
  <si>
    <t xml:space="preserve">Note: The COUNT function only counts cells with numbers, not cells with letters. The COUNTA function is better used if the cells have letters. </t>
  </si>
  <si>
    <r>
      <rPr>
        <b/>
        <sz val="11"/>
        <color theme="1"/>
        <rFont val="Calibri"/>
        <family val="2"/>
        <scheme val="minor"/>
      </rPr>
      <t>COUNTBLANK</t>
    </r>
    <r>
      <rPr>
        <sz val="11"/>
        <color theme="1"/>
        <rFont val="Calibri"/>
        <family val="2"/>
        <scheme val="minor"/>
      </rPr>
      <t xml:space="preserve"> function is a premade function in Excel, which counts blank cells in a range. Example:</t>
    </r>
    <r>
      <rPr>
        <b/>
        <sz val="11"/>
        <color theme="1"/>
        <rFont val="Calibri"/>
        <family val="2"/>
        <scheme val="minor"/>
      </rPr>
      <t xml:space="preserve"> =COUNTBLANK(A2:A20)</t>
    </r>
  </si>
  <si>
    <t>COUNT</t>
  </si>
  <si>
    <t>COUNTA</t>
  </si>
  <si>
    <t xml:space="preserve">COUNTIF </t>
  </si>
  <si>
    <t>=COUNTBLANK(A55:A64)</t>
  </si>
  <si>
    <t>=COUNT(B31:B50)</t>
  </si>
  <si>
    <t>COUNT function only counts cells with numbers, not cells with letters.</t>
  </si>
  <si>
    <t xml:space="preserve">COUNTA function is better used if the cells have letters </t>
  </si>
  <si>
    <t>Count function doesnot work with letters</t>
  </si>
  <si>
    <t>=COUNTA(B31:C50)</t>
  </si>
  <si>
    <t>Add multiple cells without adding any delimiters between the combined cell values. Cell values can be both texts and/or numbers</t>
  </si>
  <si>
    <t>CONCAT Function: =CONCAT(cell1, delimiter, cell2)</t>
  </si>
  <si>
    <t xml:space="preserve">TRIM: =TRIM(cell) </t>
  </si>
  <si>
    <t>=COUNTIF(B$31:B$50,K54)</t>
  </si>
  <si>
    <r>
      <rPr>
        <b/>
        <sz val="11"/>
        <color theme="1"/>
        <rFont val="Calibri"/>
        <family val="2"/>
        <scheme val="minor"/>
      </rPr>
      <t>COUNTIF</t>
    </r>
    <r>
      <rPr>
        <sz val="11"/>
        <color theme="1"/>
        <rFont val="Calibri"/>
        <family val="2"/>
        <scheme val="minor"/>
      </rPr>
      <t xml:space="preserve"> function can have basic or more advanced uses to count cells as specified criteria. This covers the basic use for how to count specific numbers (e.g. 90) and words (e.g. "water").</t>
    </r>
    <r>
      <rPr>
        <b/>
        <sz val="11"/>
        <color theme="1"/>
        <rFont val="Calibri"/>
        <family val="2"/>
        <scheme val="minor"/>
      </rPr>
      <t xml:space="preserve"> =COUNTIF(range, criteria)</t>
    </r>
  </si>
  <si>
    <t>=COUNTIF(cell:range,"&gt;400")</t>
  </si>
  <si>
    <r>
      <rPr>
        <b/>
        <sz val="11"/>
        <color theme="1"/>
        <rFont val="Calibri"/>
        <family val="2"/>
        <scheme val="minor"/>
      </rPr>
      <t>=COUNTIF(B$31:B$50,K54):</t>
    </r>
    <r>
      <rPr>
        <sz val="11"/>
        <color theme="1"/>
        <rFont val="Calibri"/>
        <family val="2"/>
        <scheme val="minor"/>
      </rPr>
      <t xml:space="preserve"> Range references should be</t>
    </r>
    <r>
      <rPr>
        <b/>
        <sz val="11"/>
        <color theme="1"/>
        <rFont val="Calibri"/>
        <family val="2"/>
        <scheme val="minor"/>
      </rPr>
      <t xml:space="preserve"> $ absolute</t>
    </r>
    <r>
      <rPr>
        <sz val="11"/>
        <color theme="1"/>
        <rFont val="Calibri"/>
        <family val="2"/>
        <scheme val="minor"/>
      </rPr>
      <t xml:space="preserve"> because if the references for the range are kept relative, the fill function will move the range downwards, including blank cells and missing the range where the data is.</t>
    </r>
  </si>
  <si>
    <r>
      <rPr>
        <b/>
        <sz val="11"/>
        <color theme="1"/>
        <rFont val="Calibri"/>
        <family val="2"/>
        <scheme val="minor"/>
      </rPr>
      <t>IF</t>
    </r>
    <r>
      <rPr>
        <sz val="11"/>
        <color theme="1"/>
        <rFont val="Calibri"/>
        <family val="2"/>
        <scheme val="minor"/>
      </rPr>
      <t xml:space="preserve"> function is a premade function in Excel, which returns values based on a true or false condition. </t>
    </r>
    <r>
      <rPr>
        <b/>
        <sz val="11"/>
        <color theme="1"/>
        <rFont val="Calibri"/>
        <family val="2"/>
        <scheme val="minor"/>
      </rPr>
      <t>=IF(logical_test, [value_if_true], [value_if_false])</t>
    </r>
  </si>
  <si>
    <r>
      <rPr>
        <b/>
        <sz val="11"/>
        <color theme="1"/>
        <rFont val="Calibri"/>
        <family val="2"/>
        <scheme val="minor"/>
      </rPr>
      <t>IFS</t>
    </r>
    <r>
      <rPr>
        <sz val="11"/>
        <color theme="1"/>
        <rFont val="Calibri"/>
        <family val="2"/>
        <scheme val="minor"/>
      </rPr>
      <t xml:space="preserve"> function is a premade function in Excel, which returns values based on one or more true or false conditions. </t>
    </r>
    <r>
      <rPr>
        <b/>
        <sz val="11"/>
        <color theme="1"/>
        <rFont val="Calibri"/>
        <family val="2"/>
        <scheme val="minor"/>
      </rPr>
      <t>=IFS(logical_test1, value_if_true1, [logical_test2, value_if_true2], [logical_test3; ...)</t>
    </r>
  </si>
  <si>
    <r>
      <t xml:space="preserve">IF function
</t>
    </r>
    <r>
      <rPr>
        <sz val="11"/>
        <color theme="1"/>
        <rFont val="Calibri"/>
        <family val="2"/>
        <scheme val="minor"/>
      </rPr>
      <t>=IF(C69&gt;400, "High", "Low")</t>
    </r>
  </si>
  <si>
    <r>
      <t xml:space="preserve">IFs function
</t>
    </r>
    <r>
      <rPr>
        <sz val="11"/>
        <color theme="1"/>
        <rFont val="Calibri"/>
        <family val="2"/>
        <scheme val="minor"/>
      </rPr>
      <t>=IFS(C69&gt;400,"High", C69&gt;=300,"Normal",C69&lt;300,"Low")</t>
    </r>
  </si>
  <si>
    <t>TRIM</t>
  </si>
  <si>
    <t>Function</t>
  </si>
  <si>
    <r>
      <t xml:space="preserve">LEFT Function with Defined Length of Characters
</t>
    </r>
    <r>
      <rPr>
        <sz val="11"/>
        <color theme="1"/>
        <rFont val="Calibri"/>
        <family val="2"/>
        <scheme val="minor"/>
      </rPr>
      <t>=LEFT(B81,4)</t>
    </r>
  </si>
  <si>
    <r>
      <t xml:space="preserve">LEFT 
</t>
    </r>
    <r>
      <rPr>
        <sz val="11"/>
        <color theme="1"/>
        <rFont val="Calibri"/>
        <family val="2"/>
        <scheme val="minor"/>
      </rPr>
      <t>=LEFT(B81)</t>
    </r>
  </si>
  <si>
    <t>FiGhTINg</t>
  </si>
  <si>
    <t>WATER</t>
  </si>
  <si>
    <t>GrASs</t>
  </si>
  <si>
    <t>WateR</t>
  </si>
  <si>
    <t>EleCTric</t>
  </si>
  <si>
    <t>WaTEr</t>
  </si>
  <si>
    <t>WAtEr</t>
  </si>
  <si>
    <t>RoCk</t>
  </si>
  <si>
    <t>DRAGON</t>
  </si>
  <si>
    <t>ManKey</t>
  </si>
  <si>
    <t>pOLIwRAth</t>
  </si>
  <si>
    <t>VICtreeBeL</t>
  </si>
  <si>
    <t>TentaCool</t>
  </si>
  <si>
    <t>MagNETon</t>
  </si>
  <si>
    <t>DeWgONg</t>
  </si>
  <si>
    <t>CloysTER</t>
  </si>
  <si>
    <t>OnIX</t>
  </si>
  <si>
    <t>DragONAir</t>
  </si>
  <si>
    <r>
      <t xml:space="preserve">LOWER
</t>
    </r>
    <r>
      <rPr>
        <sz val="11"/>
        <color theme="1"/>
        <rFont val="Calibri"/>
        <family val="2"/>
        <scheme val="minor"/>
      </rPr>
      <t>=LOWER(A93)</t>
    </r>
  </si>
  <si>
    <t>Define range to use LOWER function on multiple cells
=LOWER(A93:B101)</t>
  </si>
  <si>
    <r>
      <t xml:space="preserve">RIGHT
</t>
    </r>
    <r>
      <rPr>
        <sz val="11"/>
        <color theme="1"/>
        <rFont val="Calibri"/>
        <family val="2"/>
        <scheme val="minor"/>
      </rPr>
      <t>=RIGHT(B81)</t>
    </r>
  </si>
  <si>
    <r>
      <rPr>
        <b/>
        <sz val="11"/>
        <color theme="1"/>
        <rFont val="Calibri"/>
        <family val="2"/>
        <scheme val="minor"/>
      </rPr>
      <t>4 Characters</t>
    </r>
    <r>
      <rPr>
        <sz val="11"/>
        <color theme="1"/>
        <rFont val="Calibri"/>
        <family val="2"/>
        <scheme val="minor"/>
      </rPr>
      <t xml:space="preserve">
=RIGHT(B81,4)</t>
    </r>
  </si>
  <si>
    <r>
      <rPr>
        <b/>
        <sz val="11"/>
        <color theme="1"/>
        <rFont val="Calibri"/>
        <family val="2"/>
        <scheme val="minor"/>
      </rPr>
      <t xml:space="preserve">LEFT </t>
    </r>
    <r>
      <rPr>
        <sz val="11"/>
        <color theme="1"/>
        <rFont val="Calibri"/>
        <family val="2"/>
        <scheme val="minor"/>
      </rPr>
      <t xml:space="preserve">function is used to retrieve a chosen amount of characters, counting from the left side of an Excel cell. The chosen number has to be greater than 0 and is set to 1 by default. </t>
    </r>
    <r>
      <rPr>
        <b/>
        <sz val="11"/>
        <color theme="1"/>
        <rFont val="Calibri"/>
        <family val="2"/>
        <scheme val="minor"/>
      </rPr>
      <t>=LEFT(cell)</t>
    </r>
    <r>
      <rPr>
        <sz val="11"/>
        <color theme="1"/>
        <rFont val="Calibri"/>
        <family val="2"/>
        <scheme val="minor"/>
      </rPr>
      <t xml:space="preserve">
LEFT Function with a Defined Length of Characters. </t>
    </r>
    <r>
      <rPr>
        <b/>
        <sz val="11"/>
        <color theme="1"/>
        <rFont val="Calibri"/>
        <family val="2"/>
        <scheme val="minor"/>
      </rPr>
      <t>=LEFT(cell,3)</t>
    </r>
  </si>
  <si>
    <r>
      <rPr>
        <b/>
        <sz val="11"/>
        <color theme="1"/>
        <rFont val="Calibri"/>
        <family val="2"/>
        <scheme val="minor"/>
      </rPr>
      <t>RIGHT</t>
    </r>
    <r>
      <rPr>
        <sz val="11"/>
        <color theme="1"/>
        <rFont val="Calibri"/>
        <family val="2"/>
        <scheme val="minor"/>
      </rPr>
      <t xml:space="preserve"> function is used to retrieve a chosen amount of characters, counting from the right side of an Excel cell. The chosen number has to be greater than 0 and is set to 1 by default. </t>
    </r>
    <r>
      <rPr>
        <b/>
        <sz val="11"/>
        <color theme="1"/>
        <rFont val="Calibri"/>
        <family val="2"/>
        <scheme val="minor"/>
      </rPr>
      <t>=RIGHT(cell)</t>
    </r>
  </si>
  <si>
    <r>
      <rPr>
        <b/>
        <sz val="11"/>
        <color theme="1"/>
        <rFont val="Calibri"/>
        <family val="2"/>
        <scheme val="minor"/>
      </rPr>
      <t>SUM</t>
    </r>
    <r>
      <rPr>
        <sz val="11"/>
        <color theme="1"/>
        <rFont val="Calibri"/>
        <family val="2"/>
        <scheme val="minor"/>
      </rPr>
      <t xml:space="preserve"> function is a premade function in Excel, which adds numbers in a range. </t>
    </r>
    <r>
      <rPr>
        <b/>
        <sz val="11"/>
        <color theme="1"/>
        <rFont val="Calibri"/>
        <family val="2"/>
        <scheme val="minor"/>
      </rPr>
      <t>=SUM(cellnumber1:cellnumber6)</t>
    </r>
  </si>
  <si>
    <r>
      <rPr>
        <b/>
        <sz val="11"/>
        <color theme="1"/>
        <rFont val="Calibri"/>
        <family val="2"/>
        <scheme val="minor"/>
      </rPr>
      <t>SUMIF</t>
    </r>
    <r>
      <rPr>
        <sz val="11"/>
        <color theme="1"/>
        <rFont val="Calibri"/>
        <family val="2"/>
        <scheme val="minor"/>
      </rPr>
      <t xml:space="preserve">
=SUMIF(C93:C101)</t>
    </r>
  </si>
  <si>
    <t>TYPES</t>
  </si>
  <si>
    <r>
      <rPr>
        <b/>
        <sz val="11"/>
        <color theme="1"/>
        <rFont val="Calibri"/>
        <family val="2"/>
        <scheme val="minor"/>
      </rPr>
      <t xml:space="preserve">SUMIF </t>
    </r>
    <r>
      <rPr>
        <sz val="11"/>
        <color theme="1"/>
        <rFont val="Calibri"/>
        <family val="2"/>
        <scheme val="minor"/>
      </rPr>
      <t xml:space="preserve">function is a premade function in Excel, which calculates the sum of values in a range based on a true or false condition. </t>
    </r>
    <r>
      <rPr>
        <b/>
        <sz val="11"/>
        <color theme="1"/>
        <rFont val="Calibri"/>
        <family val="2"/>
        <scheme val="minor"/>
      </rPr>
      <t>=SUMIF(range, criteria, [sum_range])</t>
    </r>
  </si>
  <si>
    <t>MAX</t>
  </si>
  <si>
    <t>MIN</t>
  </si>
  <si>
    <t>MEDIAN</t>
  </si>
  <si>
    <r>
      <rPr>
        <b/>
        <sz val="11"/>
        <color theme="1"/>
        <rFont val="Calibri"/>
        <family val="2"/>
        <scheme val="minor"/>
      </rPr>
      <t>SUM</t>
    </r>
    <r>
      <rPr>
        <sz val="11"/>
        <color theme="1"/>
        <rFont val="Calibri"/>
        <family val="2"/>
        <scheme val="minor"/>
      </rPr>
      <t xml:space="preserve">
=SUM(B102:B110)</t>
    </r>
  </si>
  <si>
    <r>
      <rPr>
        <b/>
        <sz val="11"/>
        <color theme="1"/>
        <rFont val="Calibri"/>
        <family val="2"/>
        <scheme val="minor"/>
      </rPr>
      <t xml:space="preserve">MAX </t>
    </r>
    <r>
      <rPr>
        <sz val="11"/>
        <color theme="1"/>
        <rFont val="Calibri"/>
        <family val="2"/>
        <scheme val="minor"/>
      </rPr>
      <t xml:space="preserve">function is a premade function in Excel, which finds the highest number in a range. </t>
    </r>
    <r>
      <rPr>
        <b/>
        <sz val="11"/>
        <color theme="1"/>
        <rFont val="Calibri"/>
        <family val="2"/>
        <scheme val="minor"/>
      </rPr>
      <t>=MAX(cell range)</t>
    </r>
  </si>
  <si>
    <r>
      <rPr>
        <b/>
        <sz val="11"/>
        <color theme="1"/>
        <rFont val="Calibri"/>
        <family val="2"/>
        <scheme val="minor"/>
      </rPr>
      <t>MEDIAN</t>
    </r>
    <r>
      <rPr>
        <sz val="11"/>
        <color theme="1"/>
        <rFont val="Calibri"/>
        <family val="2"/>
        <scheme val="minor"/>
      </rPr>
      <t xml:space="preserve"> function is a premade function in Excel, which returns the middle value in the data.</t>
    </r>
    <r>
      <rPr>
        <b/>
        <sz val="11"/>
        <color theme="1"/>
        <rFont val="Calibri"/>
        <family val="2"/>
        <scheme val="minor"/>
      </rPr>
      <t xml:space="preserve"> =MEDIAN(cellrange)</t>
    </r>
  </si>
  <si>
    <r>
      <rPr>
        <b/>
        <sz val="11"/>
        <color theme="1"/>
        <rFont val="Calibri"/>
        <family val="2"/>
        <scheme val="minor"/>
      </rPr>
      <t>MIN</t>
    </r>
    <r>
      <rPr>
        <sz val="11"/>
        <color theme="1"/>
        <rFont val="Calibri"/>
        <family val="2"/>
        <scheme val="minor"/>
      </rPr>
      <t xml:space="preserve"> function is a premade function in Excel, which finds the lowest number in a range. </t>
    </r>
    <r>
      <rPr>
        <b/>
        <sz val="11"/>
        <color theme="1"/>
        <rFont val="Calibri"/>
        <family val="2"/>
        <scheme val="minor"/>
      </rPr>
      <t>=MIN(cell range)</t>
    </r>
  </si>
  <si>
    <r>
      <rPr>
        <b/>
        <sz val="11"/>
        <color theme="1"/>
        <rFont val="Calibri"/>
        <family val="2"/>
        <scheme val="minor"/>
      </rPr>
      <t>MODE</t>
    </r>
    <r>
      <rPr>
        <sz val="11"/>
        <color theme="1"/>
        <rFont val="Calibri"/>
        <family val="2"/>
        <scheme val="minor"/>
      </rPr>
      <t xml:space="preserve"> function is a premade function in Excel, which is used to find the number seen most times.</t>
    </r>
  </si>
  <si>
    <t>MODE</t>
  </si>
  <si>
    <t>Note: The mode is a type of average value, which describes where most of the data is located.</t>
  </si>
  <si>
    <t>Ultiball</t>
  </si>
  <si>
    <r>
      <rPr>
        <b/>
        <sz val="11"/>
        <color theme="1"/>
        <rFont val="Calibri"/>
        <family val="2"/>
        <scheme val="minor"/>
      </rPr>
      <t>NPV</t>
    </r>
    <r>
      <rPr>
        <sz val="11"/>
        <color theme="1"/>
        <rFont val="Calibri"/>
        <family val="2"/>
        <scheme val="minor"/>
      </rPr>
      <t xml:space="preserve"> function is used to calculate the Net Present Value (NPV). </t>
    </r>
    <r>
      <rPr>
        <b/>
        <sz val="11"/>
        <color theme="1"/>
        <rFont val="Calibri"/>
        <family val="2"/>
        <scheme val="minor"/>
      </rPr>
      <t>=NPV(rate, value1, value2, ...)</t>
    </r>
  </si>
  <si>
    <t>XOR Functions</t>
  </si>
  <si>
    <r>
      <rPr>
        <b/>
        <sz val="11"/>
        <color theme="1"/>
        <rFont val="Calibri"/>
        <family val="2"/>
        <scheme val="minor"/>
      </rPr>
      <t>XOR</t>
    </r>
    <r>
      <rPr>
        <sz val="11"/>
        <color theme="1"/>
        <rFont val="Calibri"/>
        <family val="2"/>
        <scheme val="minor"/>
      </rPr>
      <t xml:space="preserve"> function is a premade function in Excel, which returns TRUE or FALSE based on two or more conditions. </t>
    </r>
    <r>
      <rPr>
        <b/>
        <sz val="11"/>
        <color theme="1"/>
        <rFont val="Calibri"/>
        <family val="2"/>
        <scheme val="minor"/>
      </rPr>
      <t xml:space="preserve">Note: </t>
    </r>
    <r>
      <rPr>
        <sz val="11"/>
        <color theme="1"/>
        <rFont val="Calibri"/>
        <family val="2"/>
        <scheme val="minor"/>
      </rPr>
      <t xml:space="preserve">For two conditions, you can think of the XOR function as: "either this or that, but not both"
</t>
    </r>
    <r>
      <rPr>
        <b/>
        <sz val="11"/>
        <color theme="1"/>
        <rFont val="Calibri"/>
        <family val="2"/>
        <scheme val="minor"/>
      </rPr>
      <t>T, T = F     /     T, F = T    /     F, T = T    /    F, F = F</t>
    </r>
  </si>
  <si>
    <t>=XOR(B4="Fire",C4&lt;=60)</t>
  </si>
  <si>
    <t>Fire Type XOR less than 60</t>
  </si>
  <si>
    <t>CO</t>
  </si>
  <si>
    <t>NY</t>
  </si>
  <si>
    <t>CA</t>
  </si>
  <si>
    <t>WY</t>
  </si>
  <si>
    <t>State Code</t>
  </si>
  <si>
    <t>Population</t>
  </si>
  <si>
    <t>State Name</t>
  </si>
  <si>
    <t>Colorado</t>
  </si>
  <si>
    <t>NE</t>
  </si>
  <si>
    <t>Nebraska</t>
  </si>
  <si>
    <t>New York</t>
  </si>
  <si>
    <t>TX</t>
  </si>
  <si>
    <t>Texas</t>
  </si>
  <si>
    <t>California</t>
  </si>
  <si>
    <t>Wayming</t>
  </si>
  <si>
    <r>
      <t xml:space="preserve">VLOOKUP function is a premade function in Excel, which allows searches across columns. </t>
    </r>
    <r>
      <rPr>
        <b/>
        <sz val="11"/>
        <color theme="1"/>
        <rFont val="Calibri"/>
        <family val="2"/>
        <scheme val="minor"/>
      </rPr>
      <t>=VLOOKUP(lookup_value, table_array, col_index_num, [range_lookup])</t>
    </r>
    <r>
      <rPr>
        <sz val="11"/>
        <color theme="1"/>
        <rFont val="Calibri"/>
        <family val="2"/>
        <scheme val="minor"/>
      </rPr>
      <t xml:space="preserve">
=VLOOKUP(lookup value, range containing the lookup value, the column number in the range containing the return value, Approximate match (TRUE) or Exact match (FALSE)).</t>
    </r>
  </si>
  <si>
    <t>Lookup_value: Select the cell where search values will be entered.
Table_array: The table range, including all cells in the table.
Col_index_num: The data which is being looked up. The input is the number of the column, counted from the left.
Range_lookup: TRUE if numbers (1) or FALSE if text (0).</t>
  </si>
  <si>
    <r>
      <rPr>
        <b/>
        <sz val="11"/>
        <color theme="1"/>
        <rFont val="Calibri"/>
        <family val="2"/>
        <scheme val="minor"/>
      </rPr>
      <t xml:space="preserve">RAND </t>
    </r>
    <r>
      <rPr>
        <sz val="11"/>
        <color theme="1"/>
        <rFont val="Calibri"/>
        <family val="2"/>
        <scheme val="minor"/>
      </rPr>
      <t xml:space="preserve">function is used to generate random numbers. Rand can be used to generate any random number. You can define limits, create random data sets and much more. 
To receive a random number: </t>
    </r>
    <r>
      <rPr>
        <b/>
        <sz val="11"/>
        <color theme="1"/>
        <rFont val="Calibri"/>
        <family val="2"/>
        <scheme val="minor"/>
      </rPr>
      <t xml:space="preserve">=RAND()*value | </t>
    </r>
    <r>
      <rPr>
        <sz val="11"/>
        <color theme="1"/>
        <rFont val="Calibri"/>
        <family val="2"/>
        <scheme val="minor"/>
      </rPr>
      <t>Example to generate numbers between 0 and 10: =RAND()*10</t>
    </r>
    <r>
      <rPr>
        <b/>
        <sz val="11"/>
        <color theme="1"/>
        <rFont val="Calibri"/>
        <family val="2"/>
        <scheme val="minor"/>
      </rPr>
      <t xml:space="preserve">
</t>
    </r>
    <r>
      <rPr>
        <sz val="11"/>
        <color theme="1"/>
        <rFont val="Calibri"/>
        <family val="2"/>
        <scheme val="minor"/>
      </rPr>
      <t>To receive Whole number:</t>
    </r>
    <r>
      <rPr>
        <b/>
        <sz val="11"/>
        <color theme="1"/>
        <rFont val="Calibri"/>
        <family val="2"/>
        <scheme val="minor"/>
      </rPr>
      <t xml:space="preserve"> =INT(RAND())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</si>
</sst>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quot;$&quot;#,##0"/>
    <numFmt numFmtId="165" formatCode="_(&quot;$&quot;* #,##0_);_(&quot;$&quot;* \(#,##0\);_(&quot;$&quot;* &quot;-&quot;??_);_(@_)"/>
  </numFmts>
  <fonts count="13" x14ac:knownFonts="1">
    <font>
      <sz val="11"/>
      <color theme="1"/>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2"/>
      <color theme="1"/>
      <name val="Calibri"/>
      <family val="2"/>
      <scheme val="minor"/>
    </font>
    <font>
      <sz val="12"/>
      <color theme="1"/>
      <name val="Calibri"/>
      <family val="2"/>
      <scheme val="minor"/>
    </font>
    <font>
      <b/>
      <sz val="11"/>
      <name val="Calibri"/>
      <family val="2"/>
      <scheme val="minor"/>
    </font>
    <font>
      <b/>
      <u/>
      <sz val="14"/>
      <color theme="1"/>
      <name val="Calibri"/>
      <family val="2"/>
      <scheme val="minor"/>
    </font>
    <font>
      <sz val="11"/>
      <color theme="1"/>
      <name val="Calibri"/>
      <family val="2"/>
      <scheme val="minor"/>
    </font>
    <font>
      <sz val="11"/>
      <color rgb="FF000000"/>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rgb="FFFFFFCC"/>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CCFF"/>
        <bgColor indexed="64"/>
      </patternFill>
    </fill>
    <fill>
      <patternFill patternType="solid">
        <fgColor theme="8" tint="0.79998168889431442"/>
        <bgColor indexed="64"/>
      </patternFill>
    </fill>
    <fill>
      <patternFill patternType="solid">
        <fgColor rgb="FF99FFCC"/>
        <bgColor indexed="64"/>
      </patternFill>
    </fill>
    <fill>
      <patternFill patternType="solid">
        <fgColor rgb="FFCCFFCC"/>
        <bgColor indexed="64"/>
      </patternFill>
    </fill>
    <fill>
      <patternFill patternType="solid">
        <fgColor rgb="FF99FF99"/>
        <bgColor indexed="64"/>
      </patternFill>
    </fill>
    <fill>
      <patternFill patternType="solid">
        <fgColor theme="9" tint="0.79998168889431442"/>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right/>
      <top style="thin">
        <color theme="4" tint="0.39997558519241921"/>
      </top>
      <bottom/>
      <diagonal/>
    </border>
    <border>
      <left style="medium">
        <color indexed="64"/>
      </left>
      <right/>
      <top style="thin">
        <color theme="4" tint="0.39997558519241921"/>
      </top>
      <bottom style="medium">
        <color indexed="64"/>
      </bottom>
      <diagonal/>
    </border>
    <border>
      <left/>
      <right/>
      <top style="thin">
        <color theme="4" tint="0.39997558519241921"/>
      </top>
      <bottom style="medium">
        <color indexed="64"/>
      </bottom>
      <diagonal/>
    </border>
    <border>
      <left/>
      <right style="medium">
        <color indexed="64"/>
      </right>
      <top style="thin">
        <color theme="4" tint="0.39997558519241921"/>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top style="thin">
        <color theme="4" tint="0.39997558519241921"/>
      </top>
      <bottom/>
      <diagonal/>
    </border>
    <border>
      <left/>
      <right style="medium">
        <color indexed="64"/>
      </right>
      <top style="thin">
        <color theme="4" tint="0.39997558519241921"/>
      </top>
      <bottom/>
      <diagonal/>
    </border>
    <border>
      <left style="thin">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right style="medium">
        <color indexed="64"/>
      </right>
      <top style="medium">
        <color indexed="64"/>
      </top>
      <bottom style="thin">
        <color indexed="64"/>
      </bottom>
      <diagonal/>
    </border>
    <border>
      <left/>
      <right style="medium">
        <color indexed="64"/>
      </right>
      <top/>
      <bottom/>
      <diagonal/>
    </border>
    <border>
      <left style="thin">
        <color indexed="64"/>
      </left>
      <right style="medium">
        <color indexed="64"/>
      </right>
      <top style="thin">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top/>
      <bottom style="medium">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s>
  <cellStyleXfs count="2">
    <xf numFmtId="0" fontId="0" fillId="0" borderId="0"/>
    <xf numFmtId="44" fontId="11" fillId="0" borderId="0" applyFont="0" applyFill="0" applyBorder="0" applyAlignment="0" applyProtection="0"/>
  </cellStyleXfs>
  <cellXfs count="324">
    <xf numFmtId="0" fontId="0" fillId="0" borderId="0" xfId="0"/>
    <xf numFmtId="0" fontId="0" fillId="0" borderId="1" xfId="0" applyBorder="1"/>
    <xf numFmtId="0" fontId="2" fillId="0" borderId="0" xfId="0" applyFont="1"/>
    <xf numFmtId="0" fontId="0" fillId="2" borderId="0" xfId="0" applyFill="1"/>
    <xf numFmtId="0" fontId="0" fillId="2" borderId="1" xfId="0" applyFill="1" applyBorder="1"/>
    <xf numFmtId="0" fontId="0" fillId="0" borderId="0" xfId="0" applyAlignment="1">
      <alignment horizontal="right"/>
    </xf>
    <xf numFmtId="0" fontId="1" fillId="0" borderId="0" xfId="0" quotePrefix="1" applyFont="1"/>
    <xf numFmtId="0" fontId="0" fillId="0" borderId="1" xfId="0" quotePrefix="1" applyBorder="1"/>
    <xf numFmtId="0" fontId="3" fillId="0" borderId="0" xfId="0" quotePrefix="1" applyFont="1"/>
    <xf numFmtId="0" fontId="0" fillId="0" borderId="0" xfId="0" applyAlignment="1">
      <alignment wrapText="1"/>
    </xf>
    <xf numFmtId="0" fontId="1" fillId="0" borderId="0" xfId="0" applyFont="1"/>
    <xf numFmtId="0" fontId="0" fillId="0" borderId="0" xfId="0" applyAlignment="1">
      <alignment horizontal="center" vertical="center"/>
    </xf>
    <xf numFmtId="0" fontId="0" fillId="0" borderId="0" xfId="0" pivotButton="1"/>
    <xf numFmtId="0" fontId="0" fillId="0" borderId="0" xfId="0" applyAlignment="1">
      <alignment horizontal="left"/>
    </xf>
    <xf numFmtId="14" fontId="0" fillId="0" borderId="0" xfId="0" applyNumberFormat="1"/>
    <xf numFmtId="0" fontId="0" fillId="0" borderId="0" xfId="0" applyAlignment="1">
      <alignment horizontal="left" indent="1"/>
    </xf>
    <xf numFmtId="0" fontId="0" fillId="0" borderId="0" xfId="0" quotePrefix="1"/>
    <xf numFmtId="0" fontId="0" fillId="0" borderId="15" xfId="0" applyBorder="1" applyAlignment="1">
      <alignment vertical="center" wrapText="1"/>
    </xf>
    <xf numFmtId="0" fontId="0" fillId="0" borderId="1" xfId="0" applyBorder="1" applyAlignment="1">
      <alignment vertical="center" wrapText="1"/>
    </xf>
    <xf numFmtId="0" fontId="0" fillId="0" borderId="15" xfId="0" quotePrefix="1" applyBorder="1" applyAlignment="1">
      <alignment vertical="center" wrapText="1"/>
    </xf>
    <xf numFmtId="0" fontId="0" fillId="0" borderId="11" xfId="0" applyBorder="1" applyAlignment="1">
      <alignment horizontal="left" vertical="center" wrapText="1"/>
    </xf>
    <xf numFmtId="0" fontId="0" fillId="0" borderId="11" xfId="0" quotePrefix="1" applyBorder="1" applyAlignment="1">
      <alignment vertical="center" wrapText="1"/>
    </xf>
    <xf numFmtId="0" fontId="0" fillId="0" borderId="8" xfId="0" applyBorder="1" applyAlignment="1">
      <alignment horizontal="left" vertical="center" wrapText="1"/>
    </xf>
    <xf numFmtId="0" fontId="1" fillId="3" borderId="2" xfId="0" applyFont="1" applyFill="1" applyBorder="1" applyAlignment="1">
      <alignment horizontal="left" vertical="center" wrapText="1"/>
    </xf>
    <xf numFmtId="0" fontId="0" fillId="0" borderId="20" xfId="0" applyBorder="1" applyAlignment="1">
      <alignment horizontal="center" vertical="center"/>
    </xf>
    <xf numFmtId="0" fontId="0" fillId="0" borderId="21" xfId="0" applyBorder="1" applyAlignment="1">
      <alignment horizontal="center" vertical="center"/>
    </xf>
    <xf numFmtId="0" fontId="1" fillId="0" borderId="21" xfId="0" applyFont="1" applyBorder="1" applyAlignment="1">
      <alignment horizontal="center" vertical="center"/>
    </xf>
    <xf numFmtId="0" fontId="0" fillId="0" borderId="7" xfId="0" applyBorder="1"/>
    <xf numFmtId="0" fontId="0" fillId="0" borderId="10" xfId="0" applyBorder="1"/>
    <xf numFmtId="14" fontId="0" fillId="4" borderId="33" xfId="0" applyNumberFormat="1" applyFill="1" applyBorder="1"/>
    <xf numFmtId="0" fontId="0" fillId="4" borderId="27" xfId="0" applyFill="1" applyBorder="1"/>
    <xf numFmtId="0" fontId="0" fillId="4" borderId="34" xfId="0" applyFill="1" applyBorder="1"/>
    <xf numFmtId="14" fontId="0" fillId="0" borderId="33" xfId="0" applyNumberFormat="1" applyBorder="1"/>
    <xf numFmtId="0" fontId="0" fillId="0" borderId="27" xfId="0" applyBorder="1"/>
    <xf numFmtId="0" fontId="0" fillId="0" borderId="34" xfId="0" applyBorder="1"/>
    <xf numFmtId="14" fontId="0" fillId="4" borderId="28" xfId="0" applyNumberFormat="1" applyFill="1" applyBorder="1"/>
    <xf numFmtId="0" fontId="0" fillId="4" borderId="29" xfId="0" applyFill="1" applyBorder="1"/>
    <xf numFmtId="0" fontId="0" fillId="4" borderId="30" xfId="0" applyFill="1" applyBorder="1"/>
    <xf numFmtId="14" fontId="0" fillId="0" borderId="6" xfId="0" applyNumberFormat="1" applyBorder="1"/>
    <xf numFmtId="14" fontId="9" fillId="4" borderId="35" xfId="0" applyNumberFormat="1" applyFont="1" applyFill="1" applyBorder="1"/>
    <xf numFmtId="0" fontId="9" fillId="4" borderId="35" xfId="0" applyFont="1" applyFill="1" applyBorder="1"/>
    <xf numFmtId="0" fontId="9" fillId="4" borderId="9" xfId="0" applyFont="1" applyFill="1" applyBorder="1"/>
    <xf numFmtId="0" fontId="0" fillId="0" borderId="12" xfId="0" applyBorder="1" applyAlignment="1">
      <alignment horizontal="left" vertical="center"/>
    </xf>
    <xf numFmtId="0" fontId="0" fillId="0" borderId="15" xfId="0" applyBorder="1" applyAlignment="1">
      <alignment horizontal="left" vertical="center"/>
    </xf>
    <xf numFmtId="0" fontId="0" fillId="4" borderId="1" xfId="0" applyFill="1" applyBorder="1" applyAlignment="1">
      <alignment horizontal="left" vertical="center"/>
    </xf>
    <xf numFmtId="0" fontId="0" fillId="0" borderId="1" xfId="0"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left" vertical="center"/>
    </xf>
    <xf numFmtId="0" fontId="0" fillId="0" borderId="18" xfId="0" applyBorder="1" applyAlignment="1">
      <alignment horizontal="left" vertical="center"/>
    </xf>
    <xf numFmtId="0" fontId="0" fillId="0" borderId="19" xfId="0" applyBorder="1" applyAlignment="1">
      <alignment horizontal="left" vertical="center"/>
    </xf>
    <xf numFmtId="0" fontId="0" fillId="0" borderId="36" xfId="0" applyBorder="1" applyAlignment="1">
      <alignment horizontal="left" vertical="center"/>
    </xf>
    <xf numFmtId="0" fontId="0" fillId="4" borderId="8" xfId="0" applyFill="1" applyBorder="1" applyAlignment="1">
      <alignment horizontal="left" vertical="center"/>
    </xf>
    <xf numFmtId="0" fontId="0" fillId="0" borderId="8" xfId="0" applyBorder="1" applyAlignment="1">
      <alignment horizontal="left" vertical="center"/>
    </xf>
    <xf numFmtId="0" fontId="0" fillId="0" borderId="37" xfId="0" applyBorder="1" applyAlignment="1">
      <alignment horizontal="left" vertical="center"/>
    </xf>
    <xf numFmtId="0" fontId="0" fillId="0" borderId="38" xfId="0" applyBorder="1" applyAlignment="1">
      <alignment horizontal="left" vertical="center"/>
    </xf>
    <xf numFmtId="0" fontId="1" fillId="0" borderId="39" xfId="0" applyFont="1" applyBorder="1" applyAlignment="1">
      <alignment horizontal="left" vertical="center"/>
    </xf>
    <xf numFmtId="0" fontId="1" fillId="0" borderId="40" xfId="0" applyFont="1" applyBorder="1" applyAlignment="1">
      <alignment horizontal="left" vertical="center"/>
    </xf>
    <xf numFmtId="0" fontId="0" fillId="3" borderId="0" xfId="0" applyFill="1"/>
    <xf numFmtId="0" fontId="0" fillId="0" borderId="13" xfId="0" applyBorder="1" applyAlignment="1">
      <alignment horizontal="left" vertical="center"/>
    </xf>
    <xf numFmtId="0" fontId="1"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right" vertical="center"/>
    </xf>
    <xf numFmtId="0" fontId="0" fillId="5" borderId="0" xfId="0" applyFill="1" applyAlignment="1">
      <alignment horizontal="right" vertical="center"/>
    </xf>
    <xf numFmtId="49" fontId="1" fillId="0" borderId="2" xfId="0" quotePrefix="1" applyNumberFormat="1" applyFont="1" applyBorder="1" applyAlignment="1">
      <alignment wrapText="1"/>
    </xf>
    <xf numFmtId="0" fontId="0" fillId="0" borderId="0" xfId="0" quotePrefix="1" applyAlignment="1">
      <alignment wrapText="1"/>
    </xf>
    <xf numFmtId="0" fontId="0" fillId="0" borderId="11" xfId="0" applyBorder="1" applyAlignment="1">
      <alignment horizontal="left" vertical="center"/>
    </xf>
    <xf numFmtId="0" fontId="0" fillId="0" borderId="41" xfId="0" applyBorder="1" applyAlignment="1">
      <alignment horizontal="left" vertical="center"/>
    </xf>
    <xf numFmtId="0" fontId="0" fillId="0" borderId="42" xfId="0" applyBorder="1" applyAlignment="1">
      <alignment horizontal="right"/>
    </xf>
    <xf numFmtId="0" fontId="0" fillId="0" borderId="43" xfId="0" applyBorder="1" applyAlignment="1">
      <alignment horizontal="left" vertical="center"/>
    </xf>
    <xf numFmtId="0" fontId="0" fillId="0" borderId="32" xfId="0" applyBorder="1" applyAlignment="1">
      <alignment horizontal="left" vertical="center"/>
    </xf>
    <xf numFmtId="0" fontId="0" fillId="0" borderId="31" xfId="0" applyBorder="1" applyAlignment="1">
      <alignment horizontal="left" vertical="center"/>
    </xf>
    <xf numFmtId="0" fontId="0" fillId="0" borderId="44" xfId="0" applyBorder="1" applyAlignment="1">
      <alignment horizontal="left" vertical="center"/>
    </xf>
    <xf numFmtId="16" fontId="0" fillId="0" borderId="14" xfId="0" applyNumberFormat="1" applyBorder="1"/>
    <xf numFmtId="16" fontId="0" fillId="0" borderId="16" xfId="0" applyNumberFormat="1" applyBorder="1"/>
    <xf numFmtId="16" fontId="0" fillId="0" borderId="19" xfId="0" applyNumberFormat="1"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36" xfId="0" applyBorder="1"/>
    <xf numFmtId="0" fontId="0" fillId="0" borderId="8" xfId="0" applyBorder="1"/>
    <xf numFmtId="0" fontId="1" fillId="3" borderId="40" xfId="0" applyFont="1" applyFill="1" applyBorder="1"/>
    <xf numFmtId="0" fontId="0" fillId="0" borderId="46" xfId="0" applyBorder="1"/>
    <xf numFmtId="0" fontId="0" fillId="0" borderId="11" xfId="0" applyBorder="1"/>
    <xf numFmtId="0" fontId="0" fillId="0" borderId="21" xfId="0" applyBorder="1"/>
    <xf numFmtId="0" fontId="0" fillId="0" borderId="47" xfId="0" applyBorder="1"/>
    <xf numFmtId="0" fontId="0" fillId="0" borderId="48" xfId="0" applyBorder="1"/>
    <xf numFmtId="0" fontId="0" fillId="0" borderId="49" xfId="0" applyBorder="1"/>
    <xf numFmtId="0" fontId="0" fillId="0" borderId="26" xfId="0" applyBorder="1"/>
    <xf numFmtId="0" fontId="0" fillId="0" borderId="50" xfId="0" applyBorder="1"/>
    <xf numFmtId="0" fontId="0" fillId="0" borderId="38" xfId="0" applyBorder="1" applyAlignment="1">
      <alignment horizontal="center" vertical="center"/>
    </xf>
    <xf numFmtId="0" fontId="0" fillId="0" borderId="39" xfId="0" applyBorder="1" applyAlignment="1">
      <alignment horizontal="center" vertical="center"/>
    </xf>
    <xf numFmtId="0" fontId="1" fillId="3" borderId="45" xfId="0" applyFont="1" applyFill="1" applyBorder="1" applyAlignment="1">
      <alignment horizontal="center" vertical="center" wrapText="1"/>
    </xf>
    <xf numFmtId="0" fontId="1" fillId="3" borderId="3" xfId="0" applyFont="1" applyFill="1" applyBorder="1" applyAlignment="1">
      <alignment horizontal="center" vertical="center"/>
    </xf>
    <xf numFmtId="0" fontId="1" fillId="3" borderId="2" xfId="0" applyFont="1" applyFill="1" applyBorder="1" applyAlignment="1">
      <alignment horizontal="center" vertical="center" wrapText="1"/>
    </xf>
    <xf numFmtId="0" fontId="0" fillId="0" borderId="37" xfId="0" applyBorder="1"/>
    <xf numFmtId="0" fontId="0" fillId="3" borderId="51" xfId="0" applyFill="1" applyBorder="1"/>
    <xf numFmtId="0" fontId="0" fillId="3" borderId="52" xfId="0" applyFill="1" applyBorder="1"/>
    <xf numFmtId="0" fontId="0" fillId="3" borderId="53" xfId="0" applyFill="1" applyBorder="1"/>
    <xf numFmtId="164" fontId="0" fillId="3" borderId="8" xfId="0" applyNumberFormat="1" applyFill="1" applyBorder="1"/>
    <xf numFmtId="0" fontId="1" fillId="3" borderId="15" xfId="0" applyFont="1" applyFill="1" applyBorder="1"/>
    <xf numFmtId="0" fontId="1" fillId="3" borderId="17" xfId="0" applyFont="1" applyFill="1" applyBorder="1"/>
    <xf numFmtId="0" fontId="0" fillId="0" borderId="40" xfId="0" applyBorder="1" applyAlignment="1">
      <alignment horizontal="center" vertical="center"/>
    </xf>
    <xf numFmtId="0" fontId="1" fillId="0" borderId="2" xfId="0" applyFont="1" applyBorder="1" applyAlignment="1">
      <alignment horizontal="left" vertical="center" wrapText="1"/>
    </xf>
    <xf numFmtId="0" fontId="0" fillId="0" borderId="54" xfId="0" applyBorder="1"/>
    <xf numFmtId="0" fontId="0" fillId="0" borderId="55" xfId="0" applyBorder="1"/>
    <xf numFmtId="0" fontId="0" fillId="0" borderId="56" xfId="0" applyBorder="1"/>
    <xf numFmtId="0" fontId="0" fillId="0" borderId="25" xfId="0" applyBorder="1"/>
    <xf numFmtId="0" fontId="1" fillId="3" borderId="12" xfId="0" applyFont="1" applyFill="1" applyBorder="1"/>
    <xf numFmtId="165" fontId="0" fillId="0" borderId="14" xfId="1" applyNumberFormat="1" applyFont="1" applyBorder="1"/>
    <xf numFmtId="165" fontId="0" fillId="0" borderId="16" xfId="0" applyNumberFormat="1" applyBorder="1"/>
    <xf numFmtId="165" fontId="0" fillId="0" borderId="19" xfId="0" applyNumberFormat="1" applyBorder="1"/>
    <xf numFmtId="0" fontId="0" fillId="0" borderId="15" xfId="0" applyBorder="1" applyAlignment="1">
      <alignment vertical="center"/>
    </xf>
    <xf numFmtId="0" fontId="0" fillId="0" borderId="17" xfId="0" applyBorder="1" applyAlignment="1">
      <alignment vertical="center"/>
    </xf>
    <xf numFmtId="0" fontId="0" fillId="0" borderId="39" xfId="0" applyBorder="1" applyAlignment="1">
      <alignment horizontal="left" vertical="center"/>
    </xf>
    <xf numFmtId="0" fontId="0" fillId="0" borderId="12" xfId="0" applyBorder="1" applyAlignment="1">
      <alignment vertical="center"/>
    </xf>
    <xf numFmtId="0" fontId="1" fillId="0" borderId="45" xfId="0" applyFont="1" applyBorder="1" applyAlignment="1">
      <alignment horizontal="left" vertical="center"/>
    </xf>
    <xf numFmtId="0" fontId="1" fillId="0" borderId="2" xfId="0" applyFont="1" applyBorder="1" applyAlignment="1">
      <alignment horizontal="center" vertical="center"/>
    </xf>
    <xf numFmtId="0" fontId="0" fillId="0" borderId="45" xfId="0" applyBorder="1" applyAlignment="1">
      <alignment horizontal="left" vertical="center"/>
    </xf>
    <xf numFmtId="0" fontId="1" fillId="5" borderId="52" xfId="0" quotePrefix="1" applyFont="1" applyFill="1" applyBorder="1" applyAlignment="1">
      <alignment horizontal="center" vertical="center"/>
    </xf>
    <xf numFmtId="0" fontId="1" fillId="0" borderId="2" xfId="0" applyFont="1" applyBorder="1" applyAlignment="1">
      <alignment horizontal="left" vertical="center"/>
    </xf>
    <xf numFmtId="0" fontId="0" fillId="5" borderId="51" xfId="0" applyFill="1" applyBorder="1"/>
    <xf numFmtId="0" fontId="0" fillId="5" borderId="21" xfId="0" applyFill="1" applyBorder="1"/>
    <xf numFmtId="0" fontId="0" fillId="5" borderId="53" xfId="0" applyFill="1" applyBorder="1"/>
    <xf numFmtId="0" fontId="0" fillId="0" borderId="0" xfId="0" quotePrefix="1" applyAlignment="1">
      <alignment vertical="center" wrapText="1"/>
    </xf>
    <xf numFmtId="0" fontId="0" fillId="0" borderId="0" xfId="0" applyAlignment="1">
      <alignment vertical="center"/>
    </xf>
    <xf numFmtId="0" fontId="1" fillId="0" borderId="2" xfId="0" quotePrefix="1" applyFont="1" applyBorder="1" applyAlignment="1">
      <alignment vertical="center"/>
    </xf>
    <xf numFmtId="0" fontId="0" fillId="5" borderId="11" xfId="0" applyFill="1" applyBorder="1" applyAlignment="1">
      <alignment horizontal="center" vertical="center"/>
    </xf>
    <xf numFmtId="0" fontId="0" fillId="5" borderId="41" xfId="0" applyFill="1" applyBorder="1" applyAlignment="1">
      <alignment horizontal="center" vertical="center"/>
    </xf>
    <xf numFmtId="0" fontId="0" fillId="0" borderId="36" xfId="0" applyBorder="1" applyAlignment="1">
      <alignment vertical="center"/>
    </xf>
    <xf numFmtId="0" fontId="0" fillId="5" borderId="46" xfId="0" applyFill="1" applyBorder="1" applyAlignment="1">
      <alignment horizontal="center" vertical="center"/>
    </xf>
    <xf numFmtId="0" fontId="0" fillId="6" borderId="20" xfId="0" applyFill="1" applyBorder="1" applyAlignment="1">
      <alignment horizontal="center" vertical="center"/>
    </xf>
    <xf numFmtId="0" fontId="0" fillId="6" borderId="48" xfId="0" applyFill="1" applyBorder="1" applyAlignment="1">
      <alignment horizontal="center" vertical="center"/>
    </xf>
    <xf numFmtId="0" fontId="0" fillId="6" borderId="53" xfId="0" applyFill="1" applyBorder="1" applyAlignment="1">
      <alignment horizontal="center" vertical="center"/>
    </xf>
    <xf numFmtId="0" fontId="1" fillId="0" borderId="51" xfId="0" applyFont="1" applyBorder="1" applyAlignment="1">
      <alignment horizontal="center" vertical="center"/>
    </xf>
    <xf numFmtId="0" fontId="1" fillId="7" borderId="51" xfId="0" quotePrefix="1" applyFont="1" applyFill="1" applyBorder="1" applyAlignment="1">
      <alignment horizontal="center" vertical="center"/>
    </xf>
    <xf numFmtId="0" fontId="0" fillId="0" borderId="5" xfId="0" applyBorder="1" applyAlignment="1">
      <alignment horizontal="center" vertical="center"/>
    </xf>
    <xf numFmtId="0" fontId="0" fillId="7" borderId="57" xfId="0" applyFill="1" applyBorder="1" applyAlignment="1">
      <alignment horizontal="center" vertical="center"/>
    </xf>
    <xf numFmtId="0" fontId="0" fillId="0" borderId="1" xfId="0" applyBorder="1" applyAlignment="1">
      <alignment horizontal="center" vertical="center"/>
    </xf>
    <xf numFmtId="0" fontId="0" fillId="0" borderId="16"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7" borderId="58" xfId="0" applyFill="1" applyBorder="1" applyAlignment="1">
      <alignment horizontal="center" vertical="center"/>
    </xf>
    <xf numFmtId="0" fontId="0" fillId="0" borderId="18" xfId="0" applyBorder="1" applyAlignment="1">
      <alignment horizontal="center" vertical="center"/>
    </xf>
    <xf numFmtId="0" fontId="0" fillId="0" borderId="25" xfId="0" applyBorder="1" applyAlignment="1">
      <alignment horizontal="center" vertical="center"/>
    </xf>
    <xf numFmtId="0" fontId="0" fillId="0" borderId="39" xfId="0" applyBorder="1"/>
    <xf numFmtId="0" fontId="0" fillId="0" borderId="40" xfId="0" applyBorder="1"/>
    <xf numFmtId="0" fontId="0" fillId="7" borderId="59" xfId="0" applyFill="1" applyBorder="1" applyAlignment="1">
      <alignment horizontal="center" vertical="center"/>
    </xf>
    <xf numFmtId="0" fontId="0" fillId="0" borderId="60" xfId="0" applyBorder="1" applyAlignment="1">
      <alignment horizontal="center" vertical="center"/>
    </xf>
    <xf numFmtId="0" fontId="0" fillId="0" borderId="38" xfId="0" applyBorder="1"/>
    <xf numFmtId="0" fontId="0" fillId="0" borderId="12" xfId="0" applyBorder="1"/>
    <xf numFmtId="0" fontId="1" fillId="8" borderId="40" xfId="0" applyFont="1" applyFill="1" applyBorder="1" applyAlignment="1">
      <alignment horizontal="center" vertical="center"/>
    </xf>
    <xf numFmtId="0" fontId="1" fillId="0" borderId="42" xfId="0" quotePrefix="1" applyFont="1" applyBorder="1" applyAlignment="1">
      <alignment horizontal="center" vertical="center"/>
    </xf>
    <xf numFmtId="0" fontId="0" fillId="8" borderId="16" xfId="0" applyFill="1" applyBorder="1" applyAlignment="1">
      <alignment horizontal="center" vertical="center"/>
    </xf>
    <xf numFmtId="0" fontId="0" fillId="8" borderId="19" xfId="0" applyFill="1" applyBorder="1" applyAlignment="1">
      <alignment horizontal="center" vertical="center"/>
    </xf>
    <xf numFmtId="0" fontId="1" fillId="0" borderId="3" xfId="0" applyFont="1" applyBorder="1"/>
    <xf numFmtId="0" fontId="1" fillId="0" borderId="4" xfId="0" applyFont="1" applyBorder="1"/>
    <xf numFmtId="0" fontId="1" fillId="0" borderId="5" xfId="0" applyFont="1" applyBorder="1"/>
    <xf numFmtId="0" fontId="1" fillId="0" borderId="51" xfId="0" quotePrefix="1" applyFont="1" applyBorder="1" applyAlignment="1">
      <alignment vertical="center"/>
    </xf>
    <xf numFmtId="0" fontId="0" fillId="0" borderId="61" xfId="0" applyBorder="1"/>
    <xf numFmtId="0" fontId="0" fillId="0" borderId="59" xfId="0" applyBorder="1"/>
    <xf numFmtId="0" fontId="0" fillId="0" borderId="62" xfId="0" applyBorder="1"/>
    <xf numFmtId="0" fontId="0" fillId="0" borderId="63" xfId="0" applyBorder="1"/>
    <xf numFmtId="0" fontId="0" fillId="0" borderId="64" xfId="0" applyBorder="1"/>
    <xf numFmtId="0" fontId="0" fillId="0" borderId="52" xfId="0" applyBorder="1"/>
    <xf numFmtId="0" fontId="0" fillId="0" borderId="53" xfId="0" applyBorder="1"/>
    <xf numFmtId="0" fontId="0" fillId="0" borderId="6" xfId="0" applyBorder="1"/>
    <xf numFmtId="0" fontId="0" fillId="0" borderId="51" xfId="0" applyBorder="1" applyAlignment="1">
      <alignment horizontal="center" vertical="center"/>
    </xf>
    <xf numFmtId="0" fontId="0" fillId="0" borderId="52" xfId="0" applyBorder="1" applyAlignment="1">
      <alignment horizontal="center" vertical="center"/>
    </xf>
    <xf numFmtId="0" fontId="0" fillId="0" borderId="53" xfId="0" applyBorder="1" applyAlignment="1">
      <alignment horizontal="center" vertical="center"/>
    </xf>
    <xf numFmtId="0" fontId="0" fillId="0" borderId="52" xfId="0" quotePrefix="1" applyBorder="1" applyAlignment="1">
      <alignment horizontal="left" vertical="center"/>
    </xf>
    <xf numFmtId="0" fontId="0" fillId="0" borderId="3" xfId="0" applyBorder="1" applyAlignment="1">
      <alignment horizontal="left" vertical="center"/>
    </xf>
    <xf numFmtId="0" fontId="0" fillId="0" borderId="61" xfId="0" quotePrefix="1" applyBorder="1" applyAlignment="1">
      <alignment horizontal="left" vertical="center"/>
    </xf>
    <xf numFmtId="0" fontId="1" fillId="0" borderId="62" xfId="0" applyFont="1" applyBorder="1"/>
    <xf numFmtId="0" fontId="1" fillId="0" borderId="64" xfId="0" applyFont="1" applyBorder="1"/>
    <xf numFmtId="0" fontId="1" fillId="10" borderId="5" xfId="0" quotePrefix="1" applyFont="1" applyFill="1" applyBorder="1" applyAlignment="1">
      <alignment horizontal="center" vertical="center"/>
    </xf>
    <xf numFmtId="0" fontId="1" fillId="10" borderId="2" xfId="0" applyFont="1" applyFill="1" applyBorder="1" applyAlignment="1">
      <alignment horizontal="center" vertical="center"/>
    </xf>
    <xf numFmtId="0" fontId="0" fillId="0" borderId="51" xfId="0" applyBorder="1"/>
    <xf numFmtId="0" fontId="0" fillId="0" borderId="4" xfId="0" applyBorder="1" applyAlignment="1">
      <alignment horizontal="center" vertical="center"/>
    </xf>
    <xf numFmtId="0" fontId="0" fillId="0" borderId="4" xfId="0" applyBorder="1" applyAlignment="1">
      <alignment horizontal="left" vertical="center"/>
    </xf>
    <xf numFmtId="0" fontId="0" fillId="0" borderId="10" xfId="0" applyBorder="1" applyAlignment="1">
      <alignment horizontal="center" vertical="center"/>
    </xf>
    <xf numFmtId="0" fontId="0" fillId="0" borderId="59" xfId="0" applyBorder="1" applyAlignment="1">
      <alignment horizontal="center" vertical="center"/>
    </xf>
    <xf numFmtId="0" fontId="0" fillId="0" borderId="64" xfId="0" applyBorder="1" applyAlignment="1">
      <alignment horizontal="center" vertical="center"/>
    </xf>
    <xf numFmtId="0" fontId="0" fillId="0" borderId="6" xfId="0" applyBorder="1" applyAlignment="1">
      <alignment horizontal="center" vertical="center"/>
    </xf>
    <xf numFmtId="0" fontId="0" fillId="0" borderId="61" xfId="0" applyBorder="1" applyAlignment="1">
      <alignment horizontal="center" vertical="center"/>
    </xf>
    <xf numFmtId="0" fontId="0" fillId="0" borderId="62" xfId="0" applyBorder="1" applyAlignment="1">
      <alignment horizontal="center" vertical="center"/>
    </xf>
    <xf numFmtId="0" fontId="1" fillId="12" borderId="2" xfId="0" applyFont="1" applyFill="1" applyBorder="1" applyAlignment="1">
      <alignment horizontal="center" vertical="center" wrapText="1"/>
    </xf>
    <xf numFmtId="0" fontId="0" fillId="0" borderId="2" xfId="0" applyBorder="1"/>
    <xf numFmtId="0" fontId="0" fillId="0" borderId="12" xfId="0" applyBorder="1" applyAlignment="1">
      <alignment horizontal="center" vertical="center"/>
    </xf>
    <xf numFmtId="0" fontId="0" fillId="0" borderId="36" xfId="0" applyBorder="1" applyAlignment="1">
      <alignment horizontal="center" vertical="center"/>
    </xf>
    <xf numFmtId="0" fontId="0" fillId="0" borderId="65" xfId="0" applyBorder="1" applyAlignment="1">
      <alignment horizontal="center" vertical="center"/>
    </xf>
    <xf numFmtId="0" fontId="1" fillId="6" borderId="38" xfId="0" applyFont="1" applyFill="1" applyBorder="1" applyAlignment="1">
      <alignment horizontal="center" vertical="center" wrapText="1"/>
    </xf>
    <xf numFmtId="0" fontId="1" fillId="6"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applyAlignment="1">
      <alignment horizontal="left" vertical="center" wrapText="1"/>
    </xf>
    <xf numFmtId="0" fontId="1" fillId="5" borderId="2" xfId="0" applyFont="1" applyFill="1" applyBorder="1" applyAlignment="1">
      <alignment horizontal="center" vertical="center" wrapText="1"/>
    </xf>
    <xf numFmtId="0" fontId="0" fillId="0" borderId="67" xfId="0" applyBorder="1" applyAlignment="1">
      <alignment horizontal="left" vertical="center"/>
    </xf>
    <xf numFmtId="0" fontId="0" fillId="0" borderId="66" xfId="0" applyBorder="1" applyAlignment="1">
      <alignment horizontal="left" vertical="center"/>
    </xf>
    <xf numFmtId="0" fontId="0" fillId="0" borderId="46" xfId="0" applyBorder="1" applyAlignment="1">
      <alignment horizontal="center" vertical="center"/>
    </xf>
    <xf numFmtId="0" fontId="0" fillId="0" borderId="44" xfId="0" applyBorder="1" applyAlignment="1">
      <alignment horizontal="center" vertical="center"/>
    </xf>
    <xf numFmtId="0" fontId="0" fillId="0" borderId="68" xfId="0" applyBorder="1" applyAlignment="1">
      <alignment horizontal="center" vertical="center"/>
    </xf>
    <xf numFmtId="0" fontId="1" fillId="6" borderId="3" xfId="0" applyFont="1" applyFill="1" applyBorder="1" applyAlignment="1">
      <alignment horizontal="center" vertical="center" wrapText="1"/>
    </xf>
    <xf numFmtId="0" fontId="0" fillId="0" borderId="26" xfId="0" applyBorder="1" applyAlignment="1">
      <alignment horizontal="center" vertical="center"/>
    </xf>
    <xf numFmtId="0" fontId="0" fillId="6" borderId="51" xfId="0" applyFill="1" applyBorder="1" applyAlignment="1">
      <alignment wrapText="1"/>
    </xf>
    <xf numFmtId="0" fontId="0" fillId="7" borderId="2" xfId="0" applyFill="1" applyBorder="1" applyAlignment="1">
      <alignment horizontal="center" vertical="center" wrapText="1"/>
    </xf>
    <xf numFmtId="0" fontId="0" fillId="0" borderId="2" xfId="0" applyBorder="1" applyAlignment="1">
      <alignment horizontal="center" vertical="center"/>
    </xf>
    <xf numFmtId="0" fontId="0" fillId="7" borderId="51" xfId="0" applyFill="1" applyBorder="1" applyAlignment="1">
      <alignment horizontal="center" vertical="center" wrapText="1"/>
    </xf>
    <xf numFmtId="0" fontId="0" fillId="0" borderId="51" xfId="0" applyBorder="1" applyAlignment="1">
      <alignment horizontal="center" vertical="center" wrapText="1"/>
    </xf>
    <xf numFmtId="0" fontId="0" fillId="0" borderId="19" xfId="0" applyBorder="1" applyAlignment="1">
      <alignment horizontal="center" vertical="center"/>
    </xf>
    <xf numFmtId="0" fontId="0" fillId="0" borderId="37" xfId="0" applyBorder="1" applyAlignment="1">
      <alignment horizontal="center" vertical="center"/>
    </xf>
    <xf numFmtId="0" fontId="0" fillId="0" borderId="69" xfId="0" applyBorder="1" applyAlignment="1">
      <alignment horizontal="center" vertical="center"/>
    </xf>
    <xf numFmtId="0" fontId="0" fillId="0" borderId="70" xfId="0" applyBorder="1" applyAlignment="1">
      <alignment horizontal="center" vertical="center"/>
    </xf>
    <xf numFmtId="0" fontId="0" fillId="0" borderId="47" xfId="0" applyBorder="1" applyAlignment="1">
      <alignment horizontal="center" vertical="center"/>
    </xf>
    <xf numFmtId="0" fontId="1" fillId="7" borderId="20" xfId="0" applyFont="1" applyFill="1" applyBorder="1" applyAlignment="1">
      <alignment horizontal="center" vertical="center"/>
    </xf>
    <xf numFmtId="0" fontId="0" fillId="0" borderId="3" xfId="0" applyBorder="1" applyAlignment="1">
      <alignment horizontal="center" vertical="center"/>
    </xf>
    <xf numFmtId="0" fontId="1" fillId="7" borderId="51" xfId="0" applyFont="1" applyFill="1" applyBorder="1" applyAlignment="1">
      <alignment horizontal="center" vertical="center"/>
    </xf>
    <xf numFmtId="0" fontId="0" fillId="0" borderId="1" xfId="0" applyBorder="1" applyAlignment="1">
      <alignment vertical="center"/>
    </xf>
    <xf numFmtId="0" fontId="0" fillId="0" borderId="26" xfId="0" applyBorder="1" applyAlignment="1">
      <alignment vertical="center" wrapText="1"/>
    </xf>
    <xf numFmtId="0" fontId="0" fillId="0" borderId="22" xfId="0" applyBorder="1" applyAlignment="1">
      <alignment vertical="center" wrapText="1"/>
    </xf>
    <xf numFmtId="0" fontId="0" fillId="0" borderId="23" xfId="0" applyBorder="1" applyAlignment="1">
      <alignment vertical="center" wrapText="1"/>
    </xf>
    <xf numFmtId="0" fontId="0" fillId="0" borderId="16" xfId="0" applyBorder="1" applyAlignment="1">
      <alignment vertical="center" wrapText="1"/>
    </xf>
    <xf numFmtId="0" fontId="1" fillId="6" borderId="61" xfId="0" quotePrefix="1" applyFont="1" applyFill="1" applyBorder="1" applyAlignment="1">
      <alignment horizontal="center" vertical="center"/>
    </xf>
    <xf numFmtId="0" fontId="1" fillId="0" borderId="6" xfId="0" applyFont="1" applyBorder="1" applyAlignment="1">
      <alignment horizontal="left" vertical="center"/>
    </xf>
    <xf numFmtId="0" fontId="0" fillId="6" borderId="69" xfId="0" applyFill="1" applyBorder="1"/>
    <xf numFmtId="0" fontId="0" fillId="6" borderId="26" xfId="0" applyFill="1" applyBorder="1"/>
    <xf numFmtId="0" fontId="0" fillId="6" borderId="50" xfId="0" applyFill="1" applyBorder="1"/>
    <xf numFmtId="0" fontId="0" fillId="0" borderId="71" xfId="0" applyBorder="1" applyAlignment="1">
      <alignment horizontal="left" vertical="center"/>
    </xf>
    <xf numFmtId="0" fontId="0" fillId="0" borderId="72" xfId="0" applyBorder="1" applyAlignment="1">
      <alignment horizontal="left" vertical="center"/>
    </xf>
    <xf numFmtId="0" fontId="0" fillId="0" borderId="54" xfId="0" applyBorder="1" applyAlignment="1">
      <alignment horizontal="left" vertical="center"/>
    </xf>
    <xf numFmtId="0" fontId="0" fillId="0" borderId="73" xfId="0" applyBorder="1" applyAlignment="1">
      <alignment horizontal="left" vertical="center"/>
    </xf>
    <xf numFmtId="0" fontId="1" fillId="0" borderId="71" xfId="0" applyFont="1" applyBorder="1"/>
    <xf numFmtId="0" fontId="0" fillId="0" borderId="74" xfId="0" applyBorder="1"/>
    <xf numFmtId="0" fontId="1" fillId="0" borderId="2" xfId="0" applyFont="1" applyBorder="1"/>
    <xf numFmtId="0" fontId="1" fillId="10" borderId="2" xfId="0" quotePrefix="1" applyFont="1" applyFill="1" applyBorder="1"/>
    <xf numFmtId="0" fontId="0" fillId="10" borderId="48" xfId="0" applyFill="1" applyBorder="1"/>
    <xf numFmtId="0" fontId="0" fillId="10" borderId="21" xfId="0" applyFill="1" applyBorder="1"/>
    <xf numFmtId="0" fontId="0" fillId="10" borderId="47" xfId="0" applyFill="1" applyBorder="1"/>
    <xf numFmtId="0" fontId="1" fillId="0" borderId="59" xfId="0" applyFont="1" applyBorder="1" applyAlignment="1">
      <alignment horizontal="center" vertical="center"/>
    </xf>
    <xf numFmtId="0" fontId="0" fillId="0" borderId="1" xfId="0" applyBorder="1" applyAlignment="1">
      <alignment horizontal="center"/>
    </xf>
    <xf numFmtId="0" fontId="0" fillId="0" borderId="1" xfId="0" applyBorder="1" applyAlignment="1">
      <alignment horizontal="left" vertical="center"/>
    </xf>
    <xf numFmtId="0" fontId="0" fillId="0" borderId="26"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0" fillId="0" borderId="56" xfId="0" applyBorder="1" applyAlignment="1">
      <alignment horizontal="left" vertical="center" wrapText="1"/>
    </xf>
    <xf numFmtId="0" fontId="0" fillId="0" borderId="25" xfId="0" applyBorder="1" applyAlignment="1">
      <alignment horizontal="left" vertical="center" wrapText="1"/>
    </xf>
    <xf numFmtId="0" fontId="0" fillId="0" borderId="60" xfId="0" applyBorder="1" applyAlignment="1">
      <alignment horizontal="left" vertical="center" wrapText="1"/>
    </xf>
    <xf numFmtId="0" fontId="0" fillId="0" borderId="1" xfId="0" applyBorder="1" applyAlignment="1">
      <alignment vertical="center"/>
    </xf>
    <xf numFmtId="0" fontId="0" fillId="0" borderId="1" xfId="0" applyBorder="1" applyAlignment="1">
      <alignment horizontal="left" vertical="center" wrapText="1"/>
    </xf>
    <xf numFmtId="0" fontId="0" fillId="0" borderId="15" xfId="0" applyBorder="1" applyAlignment="1">
      <alignment horizontal="left" vertical="center" wrapText="1"/>
    </xf>
    <xf numFmtId="0" fontId="0" fillId="0" borderId="16" xfId="0" applyBorder="1" applyAlignment="1">
      <alignment horizontal="left" vertical="center" wrapText="1"/>
    </xf>
    <xf numFmtId="0" fontId="0" fillId="0" borderId="24" xfId="0" applyBorder="1" applyAlignment="1">
      <alignment horizontal="left" vertical="center" wrapText="1"/>
    </xf>
    <xf numFmtId="0" fontId="0" fillId="3" borderId="26" xfId="0" applyFill="1" applyBorder="1" applyAlignment="1">
      <alignment horizontal="left" vertical="center" wrapText="1"/>
    </xf>
    <xf numFmtId="0" fontId="0" fillId="3" borderId="22" xfId="0" applyFill="1" applyBorder="1" applyAlignment="1">
      <alignment horizontal="left" vertical="center" wrapText="1"/>
    </xf>
    <xf numFmtId="0" fontId="0" fillId="3" borderId="23" xfId="0" applyFill="1" applyBorder="1" applyAlignment="1">
      <alignment horizontal="left" vertical="center" wrapText="1"/>
    </xf>
    <xf numFmtId="0" fontId="1" fillId="0" borderId="15" xfId="0" applyFont="1" applyBorder="1" applyAlignment="1">
      <alignment horizontal="left" vertical="center" wrapText="1"/>
    </xf>
    <xf numFmtId="0" fontId="1" fillId="0" borderId="1" xfId="0" applyFont="1" applyBorder="1" applyAlignment="1">
      <alignment horizontal="left" vertical="center" wrapText="1"/>
    </xf>
    <xf numFmtId="0" fontId="1" fillId="0" borderId="16" xfId="0" applyFont="1" applyBorder="1" applyAlignment="1">
      <alignment horizontal="left" vertical="center" wrapText="1"/>
    </xf>
    <xf numFmtId="0" fontId="0" fillId="3" borderId="15" xfId="0" applyFill="1" applyBorder="1" applyAlignment="1">
      <alignment horizontal="left" vertical="center" wrapText="1"/>
    </xf>
    <xf numFmtId="0" fontId="0" fillId="3" borderId="1" xfId="0" applyFill="1" applyBorder="1" applyAlignment="1">
      <alignment horizontal="left" vertical="center" wrapText="1"/>
    </xf>
    <xf numFmtId="0" fontId="0" fillId="3" borderId="16" xfId="0" applyFill="1" applyBorder="1" applyAlignment="1">
      <alignment horizontal="left" vertical="center" wrapText="1"/>
    </xf>
    <xf numFmtId="0" fontId="0" fillId="3" borderId="8" xfId="0" applyFill="1" applyBorder="1" applyAlignment="1">
      <alignment horizontal="left" vertical="center" wrapText="1"/>
    </xf>
    <xf numFmtId="0" fontId="8" fillId="0" borderId="15" xfId="0" applyFont="1" applyBorder="1" applyAlignment="1">
      <alignment horizontal="left" vertical="center" wrapText="1"/>
    </xf>
    <xf numFmtId="0" fontId="8" fillId="0" borderId="1" xfId="0" applyFont="1" applyBorder="1" applyAlignment="1">
      <alignment horizontal="left" vertical="center" wrapText="1"/>
    </xf>
    <xf numFmtId="0" fontId="8" fillId="0" borderId="25" xfId="0" applyFont="1" applyBorder="1" applyAlignment="1">
      <alignment horizontal="left" vertical="center" wrapText="1"/>
    </xf>
    <xf numFmtId="0" fontId="8" fillId="0" borderId="16" xfId="0" applyFont="1" applyBorder="1" applyAlignment="1">
      <alignment horizontal="left" vertical="center" wrapText="1"/>
    </xf>
    <xf numFmtId="0" fontId="0" fillId="3" borderId="15" xfId="0" quotePrefix="1" applyFill="1" applyBorder="1" applyAlignment="1">
      <alignment horizontal="left" vertical="center" wrapText="1"/>
    </xf>
    <xf numFmtId="0" fontId="0" fillId="0" borderId="15" xfId="0" quotePrefix="1" applyBorder="1" applyAlignment="1">
      <alignment horizontal="left" vertical="center" wrapText="1"/>
    </xf>
    <xf numFmtId="0" fontId="0" fillId="0" borderId="26"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4" fillId="7" borderId="3" xfId="0" applyFont="1" applyFill="1" applyBorder="1" applyAlignment="1">
      <alignment horizontal="center"/>
    </xf>
    <xf numFmtId="0" fontId="4" fillId="7" borderId="4" xfId="0" applyFont="1" applyFill="1" applyBorder="1" applyAlignment="1">
      <alignment horizontal="center"/>
    </xf>
    <xf numFmtId="0" fontId="4" fillId="7" borderId="5" xfId="0" applyFont="1" applyFill="1" applyBorder="1" applyAlignment="1">
      <alignment horizontal="center"/>
    </xf>
    <xf numFmtId="0" fontId="0" fillId="0" borderId="12" xfId="0" applyBorder="1" applyAlignment="1">
      <alignment horizontal="left" vertical="center" wrapText="1"/>
    </xf>
    <xf numFmtId="0" fontId="0" fillId="0" borderId="13" xfId="0" applyBorder="1" applyAlignment="1">
      <alignment horizontal="left" vertical="center" wrapText="1"/>
    </xf>
    <xf numFmtId="0" fontId="0" fillId="0" borderId="14" xfId="0" applyBorder="1" applyAlignment="1">
      <alignment horizontal="left" vertical="center" wrapText="1"/>
    </xf>
    <xf numFmtId="0" fontId="1" fillId="0" borderId="0" xfId="0" applyFont="1" applyAlignment="1">
      <alignment horizontal="left" vertical="center"/>
    </xf>
    <xf numFmtId="0" fontId="0" fillId="0" borderId="0" xfId="0" applyAlignment="1">
      <alignment horizontal="center"/>
    </xf>
    <xf numFmtId="0" fontId="0" fillId="0" borderId="0" xfId="0" applyAlignment="1">
      <alignment horizontal="left" vertical="center"/>
    </xf>
    <xf numFmtId="0" fontId="12" fillId="0" borderId="0" xfId="0" applyFont="1" applyAlignment="1">
      <alignment horizontal="left" vertical="center"/>
    </xf>
    <xf numFmtId="0" fontId="0" fillId="0" borderId="0" xfId="0" applyAlignment="1">
      <alignment horizontal="left" vertical="center" wrapText="1"/>
    </xf>
    <xf numFmtId="14" fontId="6" fillId="3" borderId="3" xfId="0" applyNumberFormat="1" applyFont="1" applyFill="1" applyBorder="1" applyAlignment="1">
      <alignment horizontal="left" vertical="center"/>
    </xf>
    <xf numFmtId="14" fontId="6" fillId="3" borderId="4" xfId="0" applyNumberFormat="1" applyFont="1" applyFill="1" applyBorder="1" applyAlignment="1">
      <alignment horizontal="left" vertical="center"/>
    </xf>
    <xf numFmtId="14" fontId="6" fillId="3" borderId="5" xfId="0" applyNumberFormat="1" applyFont="1" applyFill="1" applyBorder="1" applyAlignment="1">
      <alignment horizontal="left" vertical="center"/>
    </xf>
    <xf numFmtId="0" fontId="10" fillId="0" borderId="0" xfId="0" applyFont="1" applyAlignment="1">
      <alignment horizontal="left" vertical="center"/>
    </xf>
    <xf numFmtId="0" fontId="1" fillId="0" borderId="0" xfId="0" applyFont="1" applyAlignment="1">
      <alignment horizontal="left"/>
    </xf>
    <xf numFmtId="0" fontId="1" fillId="3" borderId="3" xfId="0" applyFont="1" applyFill="1" applyBorder="1" applyAlignment="1">
      <alignment horizontal="center"/>
    </xf>
    <xf numFmtId="0" fontId="1" fillId="3" borderId="4" xfId="0" applyFont="1" applyFill="1" applyBorder="1" applyAlignment="1">
      <alignment horizontal="center"/>
    </xf>
    <xf numFmtId="0" fontId="1" fillId="0" borderId="0" xfId="0" applyFont="1" applyAlignment="1">
      <alignment horizontal="center"/>
    </xf>
    <xf numFmtId="0" fontId="1" fillId="9" borderId="3" xfId="0" applyFont="1" applyFill="1" applyBorder="1" applyAlignment="1">
      <alignment horizontal="center" vertical="center"/>
    </xf>
    <xf numFmtId="0" fontId="1" fillId="9" borderId="4" xfId="0" applyFont="1" applyFill="1" applyBorder="1" applyAlignment="1">
      <alignment horizontal="center" vertical="center"/>
    </xf>
    <xf numFmtId="0" fontId="1" fillId="9" borderId="5" xfId="0" applyFont="1" applyFill="1" applyBorder="1" applyAlignment="1">
      <alignment horizontal="center" vertical="center"/>
    </xf>
    <xf numFmtId="0" fontId="0" fillId="0" borderId="3" xfId="0" applyBorder="1" applyAlignment="1">
      <alignment horizontal="left" vertical="center"/>
    </xf>
    <xf numFmtId="0" fontId="0" fillId="0" borderId="5" xfId="0" applyBorder="1" applyAlignment="1">
      <alignment horizontal="left" vertical="center"/>
    </xf>
    <xf numFmtId="0" fontId="0" fillId="0" borderId="6" xfId="0" applyBorder="1" applyAlignment="1">
      <alignment horizontal="left" vertical="center" wrapText="1"/>
    </xf>
    <xf numFmtId="0" fontId="0" fillId="0" borderId="10" xfId="0" applyBorder="1" applyAlignment="1">
      <alignment horizontal="left" vertical="center" wrapText="1"/>
    </xf>
    <xf numFmtId="0" fontId="0" fillId="0" borderId="62" xfId="0" applyBorder="1" applyAlignment="1">
      <alignment horizontal="left" vertical="center" wrapText="1"/>
    </xf>
    <xf numFmtId="0" fontId="0" fillId="0" borderId="64" xfId="0" applyBorder="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0" fillId="3" borderId="0" xfId="0" applyFill="1" applyAlignment="1">
      <alignment horizontal="left" vertical="center"/>
    </xf>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1" fillId="10" borderId="3" xfId="0" applyFont="1" applyFill="1" applyBorder="1" applyAlignment="1">
      <alignment horizontal="center"/>
    </xf>
    <xf numFmtId="0" fontId="1" fillId="10" borderId="5" xfId="0" applyFont="1" applyFill="1" applyBorder="1" applyAlignment="1">
      <alignment horizontal="center"/>
    </xf>
    <xf numFmtId="0" fontId="0" fillId="0" borderId="3" xfId="0" applyBorder="1" applyAlignment="1">
      <alignment horizontal="center"/>
    </xf>
    <xf numFmtId="0" fontId="0" fillId="0" borderId="5" xfId="0" applyBorder="1" applyAlignment="1">
      <alignment horizontal="center"/>
    </xf>
    <xf numFmtId="0" fontId="1" fillId="11" borderId="3" xfId="0" applyFont="1" applyFill="1" applyBorder="1" applyAlignment="1">
      <alignment horizontal="left"/>
    </xf>
    <xf numFmtId="0" fontId="1" fillId="11" borderId="4" xfId="0" applyFont="1" applyFill="1" applyBorder="1" applyAlignment="1">
      <alignment horizontal="left"/>
    </xf>
    <xf numFmtId="0" fontId="1" fillId="11" borderId="5" xfId="0" applyFont="1" applyFill="1" applyBorder="1" applyAlignment="1">
      <alignment horizontal="left"/>
    </xf>
    <xf numFmtId="0" fontId="1" fillId="10" borderId="3" xfId="0" quotePrefix="1" applyFont="1" applyFill="1" applyBorder="1" applyAlignment="1">
      <alignment horizontal="center"/>
    </xf>
    <xf numFmtId="0" fontId="1" fillId="12" borderId="3" xfId="0" applyFont="1" applyFill="1" applyBorder="1" applyAlignment="1">
      <alignment horizontal="center" vertical="center" wrapText="1"/>
    </xf>
    <xf numFmtId="0" fontId="1" fillId="12" borderId="5" xfId="0" applyFont="1" applyFill="1" applyBorder="1" applyAlignment="1">
      <alignment horizontal="center" vertical="center" wrapText="1"/>
    </xf>
    <xf numFmtId="0" fontId="0" fillId="0" borderId="61" xfId="0" applyBorder="1" applyAlignment="1">
      <alignment horizontal="center" vertical="center"/>
    </xf>
    <xf numFmtId="0" fontId="0" fillId="0" borderId="59" xfId="0" applyBorder="1" applyAlignment="1">
      <alignment horizontal="center" vertical="center"/>
    </xf>
    <xf numFmtId="0" fontId="0" fillId="5" borderId="3" xfId="0" applyFill="1" applyBorder="1" applyAlignment="1">
      <alignment horizontal="center" vertical="center" wrapText="1"/>
    </xf>
    <xf numFmtId="0" fontId="0" fillId="5" borderId="5" xfId="0" applyFill="1" applyBorder="1" applyAlignment="1">
      <alignment horizontal="center" vertical="center" wrapText="1"/>
    </xf>
    <xf numFmtId="0" fontId="0" fillId="0" borderId="62" xfId="0" applyBorder="1" applyAlignment="1">
      <alignment horizontal="center" vertical="center"/>
    </xf>
    <xf numFmtId="0" fontId="0" fillId="0" borderId="64" xfId="0" applyBorder="1" applyAlignment="1">
      <alignment horizontal="center" vertical="center"/>
    </xf>
    <xf numFmtId="0" fontId="4" fillId="0" borderId="0" xfId="0" applyFont="1" applyAlignment="1">
      <alignment horizontal="center"/>
    </xf>
  </cellXfs>
  <cellStyles count="2">
    <cellStyle name="Currency" xfId="1" builtinId="4"/>
    <cellStyle name="Normal" xfId="0" builtinId="0"/>
  </cellStyles>
  <dxfs count="35">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79998168889431442"/>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79998168889431442"/>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style="medium">
          <color indexed="64"/>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style="medium">
          <color indexed="64"/>
        </left>
        <right/>
        <top style="thin">
          <color theme="4" tint="0.39997558519241921"/>
        </top>
        <bottom style="medium">
          <color indexed="64"/>
        </bottom>
        <vertical/>
        <horizontal/>
      </border>
    </dxf>
    <dxf>
      <border outline="0">
        <top style="thin">
          <color theme="4" tint="0.39997558519241921"/>
        </top>
        <bottom style="medium">
          <color indexed="64"/>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auto="1"/>
        <name val="Calibri"/>
        <family val="2"/>
        <scheme val="minor"/>
      </font>
      <fill>
        <patternFill patternType="solid">
          <fgColor theme="4" tint="0.79998168889431442"/>
          <bgColor theme="4" tint="0.79998168889431442"/>
        </patternFill>
      </fill>
      <border diagonalUp="0" diagonalDown="0" outline="0">
        <left style="thin">
          <color indexed="64"/>
        </left>
        <right style="thin">
          <color indexed="64"/>
        </right>
        <top/>
        <bottom/>
      </border>
    </dxf>
  </dxfs>
  <tableStyles count="0" defaultTableStyle="TableStyleMedium2" defaultPivotStyle="PivotStyleLight16"/>
  <colors>
    <mruColors>
      <color rgb="FFCCFFCC"/>
      <color rgb="FFFFCCFF"/>
      <color rgb="FFFFFFCC"/>
      <color rgb="FF99FF99"/>
      <color rgb="FF99FFCC"/>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Rep</a:t>
            </a:r>
            <a:r>
              <a:rPr lang="en-US" baseline="0"/>
              <a:t>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v>Total</c:v>
          </c:tx>
          <c:spPr>
            <a:solidFill>
              <a:schemeClr val="accent1"/>
            </a:solidFill>
            <a:ln>
              <a:noFill/>
            </a:ln>
            <a:effectLst/>
            <a:sp3d/>
          </c:spPr>
          <c:invertIfNegative val="0"/>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extLst>
            <c:ext xmlns:c16="http://schemas.microsoft.com/office/drawing/2014/chart" uri="{C3380CC4-5D6E-409C-BE32-E72D297353CC}">
              <c16:uniqueId val="{00000000-0942-42E7-A434-641BF8A4F14E}"/>
            </c:ext>
          </c:extLst>
        </c:ser>
        <c:dLbls>
          <c:showLegendKey val="0"/>
          <c:showVal val="0"/>
          <c:showCatName val="0"/>
          <c:showSerName val="0"/>
          <c:showPercent val="0"/>
          <c:showBubbleSize val="0"/>
        </c:dLbls>
        <c:gapWidth val="150"/>
        <c:shape val="box"/>
        <c:axId val="203851776"/>
        <c:axId val="203861376"/>
        <c:axId val="0"/>
      </c:bar3DChart>
      <c:catAx>
        <c:axId val="2038517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61376"/>
        <c:crosses val="autoZero"/>
        <c:auto val="1"/>
        <c:lblAlgn val="ctr"/>
        <c:lblOffset val="100"/>
        <c:noMultiLvlLbl val="0"/>
      </c:catAx>
      <c:valAx>
        <c:axId val="203861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51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v>Total</c:v>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525-4DB7-968D-AC612234574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525-4DB7-968D-AC612234574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525-4DB7-968D-AC612234574A}"/>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525-4DB7-968D-AC612234574A}"/>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8525-4DB7-968D-AC612234574A}"/>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8525-4DB7-968D-AC612234574A}"/>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8525-4DB7-968D-AC612234574A}"/>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8525-4DB7-968D-AC612234574A}"/>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8525-4DB7-968D-AC612234574A}"/>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8525-4DB7-968D-AC612234574A}"/>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8525-4DB7-968D-AC612234574A}"/>
              </c:ext>
            </c:extLst>
          </c:dPt>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extLst>
            <c:ext xmlns:c16="http://schemas.microsoft.com/office/drawing/2014/chart" uri="{C3380CC4-5D6E-409C-BE32-E72D297353CC}">
              <c16:uniqueId val="{00000000-F5F1-4A19-9CC1-631AFF4C4F51}"/>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smooth val="0"/>
          <c:extLst>
            <c:ext xmlns:c16="http://schemas.microsoft.com/office/drawing/2014/chart" uri="{C3380CC4-5D6E-409C-BE32-E72D297353CC}">
              <c16:uniqueId val="{00000000-EBC6-469D-86B6-AC82E525FD76}"/>
            </c:ext>
          </c:extLst>
        </c:ser>
        <c:dLbls>
          <c:showLegendKey val="0"/>
          <c:showVal val="0"/>
          <c:showCatName val="0"/>
          <c:showSerName val="0"/>
          <c:showPercent val="0"/>
          <c:showBubbleSize val="0"/>
        </c:dLbls>
        <c:marker val="1"/>
        <c:smooth val="0"/>
        <c:axId val="1976848448"/>
        <c:axId val="1976848928"/>
      </c:lineChart>
      <c:catAx>
        <c:axId val="197684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848928"/>
        <c:crosses val="autoZero"/>
        <c:auto val="1"/>
        <c:lblAlgn val="ctr"/>
        <c:lblOffset val="100"/>
        <c:noMultiLvlLbl val="0"/>
      </c:catAx>
      <c:valAx>
        <c:axId val="1976848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848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Central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'Pivot Table and Chart'!$E$1</c:f>
              <c:strCache>
                <c:ptCount val="1"/>
                <c:pt idx="0">
                  <c:v>Units</c:v>
                </c:pt>
              </c:strCache>
            </c:strRef>
          </c:tx>
          <c:spPr>
            <a:solidFill>
              <a:schemeClr val="accent1"/>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Chart'!$E$2:$E$25</c:f>
              <c:numCache>
                <c:formatCode>General</c:formatCode>
                <c:ptCount val="24"/>
                <c:pt idx="0">
                  <c:v>10</c:v>
                </c:pt>
                <c:pt idx="1">
                  <c:v>40</c:v>
                </c:pt>
                <c:pt idx="2">
                  <c:v>27</c:v>
                </c:pt>
                <c:pt idx="3">
                  <c:v>75</c:v>
                </c:pt>
                <c:pt idx="4">
                  <c:v>90</c:v>
                </c:pt>
                <c:pt idx="5">
                  <c:v>90</c:v>
                </c:pt>
                <c:pt idx="6">
                  <c:v>4</c:v>
                </c:pt>
                <c:pt idx="7">
                  <c:v>28</c:v>
                </c:pt>
                <c:pt idx="8">
                  <c:v>96</c:v>
                </c:pt>
                <c:pt idx="9">
                  <c:v>67</c:v>
                </c:pt>
                <c:pt idx="10">
                  <c:v>46</c:v>
                </c:pt>
                <c:pt idx="11">
                  <c:v>87</c:v>
                </c:pt>
                <c:pt idx="12">
                  <c:v>50</c:v>
                </c:pt>
                <c:pt idx="13">
                  <c:v>66</c:v>
                </c:pt>
                <c:pt idx="14">
                  <c:v>53</c:v>
                </c:pt>
                <c:pt idx="15">
                  <c:v>80</c:v>
                </c:pt>
                <c:pt idx="16">
                  <c:v>5</c:v>
                </c:pt>
                <c:pt idx="17">
                  <c:v>55</c:v>
                </c:pt>
                <c:pt idx="18">
                  <c:v>42</c:v>
                </c:pt>
                <c:pt idx="19">
                  <c:v>7</c:v>
                </c:pt>
                <c:pt idx="20">
                  <c:v>14</c:v>
                </c:pt>
                <c:pt idx="21">
                  <c:v>11</c:v>
                </c:pt>
                <c:pt idx="22">
                  <c:v>94</c:v>
                </c:pt>
                <c:pt idx="23">
                  <c:v>28</c:v>
                </c:pt>
              </c:numCache>
            </c:numRef>
          </c:val>
          <c:extLst>
            <c:ext xmlns:c16="http://schemas.microsoft.com/office/drawing/2014/chart" uri="{C3380CC4-5D6E-409C-BE32-E72D297353CC}">
              <c16:uniqueId val="{00000000-D75F-4CA7-B320-DC414D044155}"/>
            </c:ext>
          </c:extLst>
        </c:ser>
        <c:ser>
          <c:idx val="1"/>
          <c:order val="1"/>
          <c:tx>
            <c:strRef>
              <c:f>'Pivot Table and Chart'!$F$1</c:f>
              <c:strCache>
                <c:ptCount val="1"/>
                <c:pt idx="0">
                  <c:v>Unit Cost</c:v>
                </c:pt>
              </c:strCache>
            </c:strRef>
          </c:tx>
          <c:spPr>
            <a:solidFill>
              <a:schemeClr val="accent2"/>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Chart'!$F$2:$F$25</c:f>
              <c:numCache>
                <c:formatCode>General</c:formatCode>
                <c:ptCount val="24"/>
                <c:pt idx="0">
                  <c:v>19.989999999999998</c:v>
                </c:pt>
                <c:pt idx="1">
                  <c:v>4.99</c:v>
                </c:pt>
                <c:pt idx="2">
                  <c:v>19.989999999999998</c:v>
                </c:pt>
                <c:pt idx="3">
                  <c:v>1.99</c:v>
                </c:pt>
                <c:pt idx="4">
                  <c:v>4.99</c:v>
                </c:pt>
                <c:pt idx="5">
                  <c:v>4.99</c:v>
                </c:pt>
                <c:pt idx="6">
                  <c:v>200</c:v>
                </c:pt>
                <c:pt idx="7">
                  <c:v>8.99</c:v>
                </c:pt>
                <c:pt idx="8">
                  <c:v>4.99</c:v>
                </c:pt>
                <c:pt idx="9">
                  <c:v>1.29</c:v>
                </c:pt>
                <c:pt idx="10">
                  <c:v>8.99</c:v>
                </c:pt>
                <c:pt idx="11">
                  <c:v>15</c:v>
                </c:pt>
                <c:pt idx="12">
                  <c:v>4.99</c:v>
                </c:pt>
                <c:pt idx="13">
                  <c:v>1.99</c:v>
                </c:pt>
                <c:pt idx="14">
                  <c:v>1.29</c:v>
                </c:pt>
                <c:pt idx="15">
                  <c:v>8.99</c:v>
                </c:pt>
                <c:pt idx="16">
                  <c:v>125</c:v>
                </c:pt>
                <c:pt idx="17">
                  <c:v>12.49</c:v>
                </c:pt>
                <c:pt idx="18">
                  <c:v>23.95</c:v>
                </c:pt>
                <c:pt idx="19">
                  <c:v>1.29</c:v>
                </c:pt>
                <c:pt idx="20">
                  <c:v>1.29</c:v>
                </c:pt>
                <c:pt idx="21">
                  <c:v>4.99</c:v>
                </c:pt>
                <c:pt idx="22">
                  <c:v>19.989999999999998</c:v>
                </c:pt>
                <c:pt idx="23">
                  <c:v>4.99</c:v>
                </c:pt>
              </c:numCache>
            </c:numRef>
          </c:val>
          <c:extLst>
            <c:ext xmlns:c16="http://schemas.microsoft.com/office/drawing/2014/chart" uri="{C3380CC4-5D6E-409C-BE32-E72D297353CC}">
              <c16:uniqueId val="{00000001-D75F-4CA7-B320-DC414D044155}"/>
            </c:ext>
          </c:extLst>
        </c:ser>
        <c:ser>
          <c:idx val="2"/>
          <c:order val="2"/>
          <c:tx>
            <c:strRef>
              <c:f>'Pivot Table and Chart'!$G$1</c:f>
              <c:strCache>
                <c:ptCount val="1"/>
                <c:pt idx="0">
                  <c:v>Total</c:v>
                </c:pt>
              </c:strCache>
            </c:strRef>
          </c:tx>
          <c:spPr>
            <a:solidFill>
              <a:schemeClr val="accent3"/>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Chart'!$G$2:$G$25</c:f>
              <c:numCache>
                <c:formatCode>General</c:formatCode>
                <c:ptCount val="24"/>
                <c:pt idx="0">
                  <c:v>199.89999999999998</c:v>
                </c:pt>
                <c:pt idx="1">
                  <c:v>199.60000000000002</c:v>
                </c:pt>
                <c:pt idx="2">
                  <c:v>539.7299999999999</c:v>
                </c:pt>
                <c:pt idx="3">
                  <c:v>149.25</c:v>
                </c:pt>
                <c:pt idx="4">
                  <c:v>449.1</c:v>
                </c:pt>
                <c:pt idx="5">
                  <c:v>449.1</c:v>
                </c:pt>
                <c:pt idx="6">
                  <c:v>800</c:v>
                </c:pt>
                <c:pt idx="7">
                  <c:v>251.72</c:v>
                </c:pt>
                <c:pt idx="8">
                  <c:v>479.04</c:v>
                </c:pt>
                <c:pt idx="9">
                  <c:v>86.43</c:v>
                </c:pt>
                <c:pt idx="10">
                  <c:v>413.54</c:v>
                </c:pt>
                <c:pt idx="11">
                  <c:v>1305</c:v>
                </c:pt>
                <c:pt idx="12">
                  <c:v>249.5</c:v>
                </c:pt>
                <c:pt idx="13">
                  <c:v>131.34</c:v>
                </c:pt>
                <c:pt idx="14">
                  <c:v>68.37</c:v>
                </c:pt>
                <c:pt idx="15">
                  <c:v>719.2</c:v>
                </c:pt>
                <c:pt idx="16">
                  <c:v>625</c:v>
                </c:pt>
                <c:pt idx="17">
                  <c:v>686.95</c:v>
                </c:pt>
                <c:pt idx="18">
                  <c:v>1005.9</c:v>
                </c:pt>
                <c:pt idx="19">
                  <c:v>9.0300000000000011</c:v>
                </c:pt>
                <c:pt idx="20">
                  <c:v>18.060000000000002</c:v>
                </c:pt>
                <c:pt idx="21">
                  <c:v>54.89</c:v>
                </c:pt>
                <c:pt idx="22">
                  <c:v>1879.06</c:v>
                </c:pt>
                <c:pt idx="23">
                  <c:v>139.72</c:v>
                </c:pt>
              </c:numCache>
            </c:numRef>
          </c:val>
          <c:extLst>
            <c:ext xmlns:c16="http://schemas.microsoft.com/office/drawing/2014/chart" uri="{C3380CC4-5D6E-409C-BE32-E72D297353CC}">
              <c16:uniqueId val="{00000002-D75F-4CA7-B320-DC414D044155}"/>
            </c:ext>
          </c:extLst>
        </c:ser>
        <c:dLbls>
          <c:showLegendKey val="0"/>
          <c:showVal val="0"/>
          <c:showCatName val="0"/>
          <c:showSerName val="0"/>
          <c:showPercent val="0"/>
          <c:showBubbleSize val="0"/>
        </c:dLbls>
        <c:gapWidth val="150"/>
        <c:overlap val="100"/>
        <c:axId val="212571056"/>
        <c:axId val="212577296"/>
      </c:barChart>
      <c:catAx>
        <c:axId val="212571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77296"/>
        <c:crosses val="autoZero"/>
        <c:auto val="1"/>
        <c:lblAlgn val="ctr"/>
        <c:lblOffset val="100"/>
        <c:noMultiLvlLbl val="0"/>
      </c:catAx>
      <c:valAx>
        <c:axId val="212577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71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1.png"/><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4" Type="http://schemas.openxmlformats.org/officeDocument/2006/relationships/image" Target="../media/image15.png"/></Relationships>
</file>

<file path=xl/drawings/_rels/drawing4.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11</xdr:col>
      <xdr:colOff>107674</xdr:colOff>
      <xdr:row>5</xdr:row>
      <xdr:rowOff>14493</xdr:rowOff>
    </xdr:from>
    <xdr:to>
      <xdr:col>12</xdr:col>
      <xdr:colOff>766366</xdr:colOff>
      <xdr:row>10</xdr:row>
      <xdr:rowOff>86789</xdr:rowOff>
    </xdr:to>
    <xdr:pic>
      <xdr:nvPicPr>
        <xdr:cNvPr id="2" name="Picture 1">
          <a:extLst>
            <a:ext uri="{FF2B5EF4-FFF2-40B4-BE49-F238E27FC236}">
              <a16:creationId xmlns:a16="http://schemas.microsoft.com/office/drawing/2014/main" id="{5DAD647D-6ECE-D8E8-04BC-D3E0D1A78984}"/>
            </a:ext>
          </a:extLst>
        </xdr:cNvPr>
        <xdr:cNvPicPr>
          <a:picLocks noChangeAspect="1"/>
        </xdr:cNvPicPr>
      </xdr:nvPicPr>
      <xdr:blipFill>
        <a:blip xmlns:r="http://schemas.openxmlformats.org/officeDocument/2006/relationships" r:embed="rId1"/>
        <a:stretch>
          <a:fillRect/>
        </a:stretch>
      </xdr:blipFill>
      <xdr:spPr>
        <a:xfrm>
          <a:off x="12117457" y="1182341"/>
          <a:ext cx="1851388" cy="1091057"/>
        </a:xfrm>
        <a:prstGeom prst="rect">
          <a:avLst/>
        </a:prstGeom>
      </xdr:spPr>
    </xdr:pic>
    <xdr:clientData/>
  </xdr:twoCellAnchor>
  <xdr:twoCellAnchor editAs="oneCell">
    <xdr:from>
      <xdr:col>8</xdr:col>
      <xdr:colOff>728871</xdr:colOff>
      <xdr:row>14</xdr:row>
      <xdr:rowOff>19880</xdr:rowOff>
    </xdr:from>
    <xdr:to>
      <xdr:col>12</xdr:col>
      <xdr:colOff>456674</xdr:colOff>
      <xdr:row>18</xdr:row>
      <xdr:rowOff>114019</xdr:rowOff>
    </xdr:to>
    <xdr:pic>
      <xdr:nvPicPr>
        <xdr:cNvPr id="3" name="Picture 2">
          <a:extLst>
            <a:ext uri="{FF2B5EF4-FFF2-40B4-BE49-F238E27FC236}">
              <a16:creationId xmlns:a16="http://schemas.microsoft.com/office/drawing/2014/main" id="{837D26C5-A630-B325-ECAC-B99232F7018C}"/>
            </a:ext>
          </a:extLst>
        </xdr:cNvPr>
        <xdr:cNvPicPr>
          <a:picLocks noChangeAspect="1"/>
        </xdr:cNvPicPr>
      </xdr:nvPicPr>
      <xdr:blipFill>
        <a:blip xmlns:r="http://schemas.openxmlformats.org/officeDocument/2006/relationships" r:embed="rId2"/>
        <a:stretch>
          <a:fillRect/>
        </a:stretch>
      </xdr:blipFill>
      <xdr:spPr>
        <a:xfrm>
          <a:off x="8953501" y="3357771"/>
          <a:ext cx="4473738" cy="1245421"/>
        </a:xfrm>
        <a:prstGeom prst="rect">
          <a:avLst/>
        </a:prstGeom>
      </xdr:spPr>
    </xdr:pic>
    <xdr:clientData/>
  </xdr:twoCellAnchor>
  <xdr:twoCellAnchor editAs="oneCell">
    <xdr:from>
      <xdr:col>12</xdr:col>
      <xdr:colOff>520360</xdr:colOff>
      <xdr:row>16</xdr:row>
      <xdr:rowOff>214933</xdr:rowOff>
    </xdr:from>
    <xdr:to>
      <xdr:col>13</xdr:col>
      <xdr:colOff>896745</xdr:colOff>
      <xdr:row>21</xdr:row>
      <xdr:rowOff>69402</xdr:rowOff>
    </xdr:to>
    <xdr:pic>
      <xdr:nvPicPr>
        <xdr:cNvPr id="4" name="Picture 3">
          <a:extLst>
            <a:ext uri="{FF2B5EF4-FFF2-40B4-BE49-F238E27FC236}">
              <a16:creationId xmlns:a16="http://schemas.microsoft.com/office/drawing/2014/main" id="{4C5531C6-741C-278A-293D-8D93A39F4520}"/>
            </a:ext>
          </a:extLst>
        </xdr:cNvPr>
        <xdr:cNvPicPr>
          <a:picLocks noChangeAspect="1"/>
        </xdr:cNvPicPr>
      </xdr:nvPicPr>
      <xdr:blipFill>
        <a:blip xmlns:r="http://schemas.openxmlformats.org/officeDocument/2006/relationships" r:embed="rId3"/>
        <a:stretch>
          <a:fillRect/>
        </a:stretch>
      </xdr:blipFill>
      <xdr:spPr>
        <a:xfrm>
          <a:off x="13490925" y="4364520"/>
          <a:ext cx="1502819" cy="976763"/>
        </a:xfrm>
        <a:prstGeom prst="rect">
          <a:avLst/>
        </a:prstGeom>
      </xdr:spPr>
    </xdr:pic>
    <xdr:clientData/>
  </xdr:twoCellAnchor>
  <xdr:twoCellAnchor editAs="oneCell">
    <xdr:from>
      <xdr:col>8</xdr:col>
      <xdr:colOff>288192</xdr:colOff>
      <xdr:row>21</xdr:row>
      <xdr:rowOff>63645</xdr:rowOff>
    </xdr:from>
    <xdr:to>
      <xdr:col>9</xdr:col>
      <xdr:colOff>977348</xdr:colOff>
      <xdr:row>26</xdr:row>
      <xdr:rowOff>57980</xdr:rowOff>
    </xdr:to>
    <xdr:pic>
      <xdr:nvPicPr>
        <xdr:cNvPr id="5" name="Picture 4">
          <a:extLst>
            <a:ext uri="{FF2B5EF4-FFF2-40B4-BE49-F238E27FC236}">
              <a16:creationId xmlns:a16="http://schemas.microsoft.com/office/drawing/2014/main" id="{A1B84FBB-6994-D853-BDA9-F981C5B4B442}"/>
            </a:ext>
          </a:extLst>
        </xdr:cNvPr>
        <xdr:cNvPicPr>
          <a:picLocks noChangeAspect="1"/>
        </xdr:cNvPicPr>
      </xdr:nvPicPr>
      <xdr:blipFill>
        <a:blip xmlns:r="http://schemas.openxmlformats.org/officeDocument/2006/relationships" r:embed="rId4"/>
        <a:stretch>
          <a:fillRect/>
        </a:stretch>
      </xdr:blipFill>
      <xdr:spPr>
        <a:xfrm>
          <a:off x="8587366" y="5347949"/>
          <a:ext cx="1848721" cy="1717117"/>
        </a:xfrm>
        <a:prstGeom prst="rect">
          <a:avLst/>
        </a:prstGeom>
      </xdr:spPr>
    </xdr:pic>
    <xdr:clientData/>
  </xdr:twoCellAnchor>
  <xdr:twoCellAnchor editAs="oneCell">
    <xdr:from>
      <xdr:col>5</xdr:col>
      <xdr:colOff>107674</xdr:colOff>
      <xdr:row>28</xdr:row>
      <xdr:rowOff>224604</xdr:rowOff>
    </xdr:from>
    <xdr:to>
      <xdr:col>6</xdr:col>
      <xdr:colOff>588066</xdr:colOff>
      <xdr:row>31</xdr:row>
      <xdr:rowOff>123507</xdr:rowOff>
    </xdr:to>
    <xdr:pic>
      <xdr:nvPicPr>
        <xdr:cNvPr id="6" name="Picture 5">
          <a:extLst>
            <a:ext uri="{FF2B5EF4-FFF2-40B4-BE49-F238E27FC236}">
              <a16:creationId xmlns:a16="http://schemas.microsoft.com/office/drawing/2014/main" id="{BC4D2E99-918B-0E10-018A-8C1DCB6702A1}"/>
            </a:ext>
          </a:extLst>
        </xdr:cNvPr>
        <xdr:cNvPicPr>
          <a:picLocks noChangeAspect="1"/>
        </xdr:cNvPicPr>
      </xdr:nvPicPr>
      <xdr:blipFill>
        <a:blip xmlns:r="http://schemas.openxmlformats.org/officeDocument/2006/relationships" r:embed="rId5"/>
        <a:stretch>
          <a:fillRect/>
        </a:stretch>
      </xdr:blipFill>
      <xdr:spPr>
        <a:xfrm>
          <a:off x="5010978" y="7745213"/>
          <a:ext cx="1648240" cy="727164"/>
        </a:xfrm>
        <a:prstGeom prst="rect">
          <a:avLst/>
        </a:prstGeom>
      </xdr:spPr>
    </xdr:pic>
    <xdr:clientData/>
  </xdr:twoCellAnchor>
  <xdr:twoCellAnchor editAs="oneCell">
    <xdr:from>
      <xdr:col>9</xdr:col>
      <xdr:colOff>934739</xdr:colOff>
      <xdr:row>28</xdr:row>
      <xdr:rowOff>256759</xdr:rowOff>
    </xdr:from>
    <xdr:to>
      <xdr:col>11</xdr:col>
      <xdr:colOff>1436</xdr:colOff>
      <xdr:row>35</xdr:row>
      <xdr:rowOff>190499</xdr:rowOff>
    </xdr:to>
    <xdr:pic>
      <xdr:nvPicPr>
        <xdr:cNvPr id="8" name="Picture 7">
          <a:extLst>
            <a:ext uri="{FF2B5EF4-FFF2-40B4-BE49-F238E27FC236}">
              <a16:creationId xmlns:a16="http://schemas.microsoft.com/office/drawing/2014/main" id="{E6D5ACED-154C-9A50-288B-B16998089E55}"/>
            </a:ext>
          </a:extLst>
        </xdr:cNvPr>
        <xdr:cNvPicPr>
          <a:picLocks noChangeAspect="1"/>
        </xdr:cNvPicPr>
      </xdr:nvPicPr>
      <xdr:blipFill>
        <a:blip xmlns:r="http://schemas.openxmlformats.org/officeDocument/2006/relationships" r:embed="rId6"/>
        <a:stretch>
          <a:fillRect/>
        </a:stretch>
      </xdr:blipFill>
      <xdr:spPr>
        <a:xfrm>
          <a:off x="10393478" y="7777368"/>
          <a:ext cx="1460371" cy="1532283"/>
        </a:xfrm>
        <a:prstGeom prst="rect">
          <a:avLst/>
        </a:prstGeom>
      </xdr:spPr>
    </xdr:pic>
    <xdr:clientData/>
  </xdr:twoCellAnchor>
  <xdr:twoCellAnchor editAs="oneCell">
    <xdr:from>
      <xdr:col>11</xdr:col>
      <xdr:colOff>455543</xdr:colOff>
      <xdr:row>28</xdr:row>
      <xdr:rowOff>312558</xdr:rowOff>
    </xdr:from>
    <xdr:to>
      <xdr:col>13</xdr:col>
      <xdr:colOff>87100</xdr:colOff>
      <xdr:row>36</xdr:row>
      <xdr:rowOff>149087</xdr:rowOff>
    </xdr:to>
    <xdr:pic>
      <xdr:nvPicPr>
        <xdr:cNvPr id="9" name="Picture 8">
          <a:extLst>
            <a:ext uri="{FF2B5EF4-FFF2-40B4-BE49-F238E27FC236}">
              <a16:creationId xmlns:a16="http://schemas.microsoft.com/office/drawing/2014/main" id="{D423B1B6-E1A9-79AC-FD00-5BA282DBBC27}"/>
            </a:ext>
          </a:extLst>
        </xdr:cNvPr>
        <xdr:cNvPicPr>
          <a:picLocks noChangeAspect="1"/>
        </xdr:cNvPicPr>
      </xdr:nvPicPr>
      <xdr:blipFill>
        <a:blip xmlns:r="http://schemas.openxmlformats.org/officeDocument/2006/relationships" r:embed="rId7"/>
        <a:stretch>
          <a:fillRect/>
        </a:stretch>
      </xdr:blipFill>
      <xdr:spPr>
        <a:xfrm>
          <a:off x="12307956" y="7833167"/>
          <a:ext cx="1950687" cy="2014855"/>
        </a:xfrm>
        <a:prstGeom prst="rect">
          <a:avLst/>
        </a:prstGeom>
      </xdr:spPr>
    </xdr:pic>
    <xdr:clientData/>
  </xdr:twoCellAnchor>
  <xdr:twoCellAnchor editAs="oneCell">
    <xdr:from>
      <xdr:col>8</xdr:col>
      <xdr:colOff>886238</xdr:colOff>
      <xdr:row>37</xdr:row>
      <xdr:rowOff>5356</xdr:rowOff>
    </xdr:from>
    <xdr:to>
      <xdr:col>14</xdr:col>
      <xdr:colOff>11577</xdr:colOff>
      <xdr:row>38</xdr:row>
      <xdr:rowOff>469500</xdr:rowOff>
    </xdr:to>
    <xdr:pic>
      <xdr:nvPicPr>
        <xdr:cNvPr id="11" name="Picture 10">
          <a:extLst>
            <a:ext uri="{FF2B5EF4-FFF2-40B4-BE49-F238E27FC236}">
              <a16:creationId xmlns:a16="http://schemas.microsoft.com/office/drawing/2014/main" id="{F642B9A7-A8DA-8B38-BD13-71CDC4A2CA97}"/>
            </a:ext>
          </a:extLst>
        </xdr:cNvPr>
        <xdr:cNvPicPr>
          <a:picLocks noChangeAspect="1"/>
        </xdr:cNvPicPr>
      </xdr:nvPicPr>
      <xdr:blipFill>
        <a:blip xmlns:r="http://schemas.openxmlformats.org/officeDocument/2006/relationships" r:embed="rId8"/>
        <a:stretch>
          <a:fillRect/>
        </a:stretch>
      </xdr:blipFill>
      <xdr:spPr>
        <a:xfrm>
          <a:off x="9185412" y="10101856"/>
          <a:ext cx="6148991" cy="1010796"/>
        </a:xfrm>
        <a:prstGeom prst="rect">
          <a:avLst/>
        </a:prstGeom>
      </xdr:spPr>
    </xdr:pic>
    <xdr:clientData/>
  </xdr:twoCellAnchor>
  <xdr:twoCellAnchor editAs="oneCell">
    <xdr:from>
      <xdr:col>6</xdr:col>
      <xdr:colOff>745434</xdr:colOff>
      <xdr:row>28</xdr:row>
      <xdr:rowOff>212867</xdr:rowOff>
    </xdr:from>
    <xdr:to>
      <xdr:col>9</xdr:col>
      <xdr:colOff>828357</xdr:colOff>
      <xdr:row>31</xdr:row>
      <xdr:rowOff>130709</xdr:rowOff>
    </xdr:to>
    <xdr:pic>
      <xdr:nvPicPr>
        <xdr:cNvPr id="12" name="Picture 11">
          <a:extLst>
            <a:ext uri="{FF2B5EF4-FFF2-40B4-BE49-F238E27FC236}">
              <a16:creationId xmlns:a16="http://schemas.microsoft.com/office/drawing/2014/main" id="{E3D09414-274B-E746-E3FF-72EAFC927996}"/>
            </a:ext>
          </a:extLst>
        </xdr:cNvPr>
        <xdr:cNvPicPr>
          <a:picLocks noChangeAspect="1"/>
        </xdr:cNvPicPr>
      </xdr:nvPicPr>
      <xdr:blipFill>
        <a:blip xmlns:r="http://schemas.openxmlformats.org/officeDocument/2006/relationships" r:embed="rId9"/>
        <a:stretch>
          <a:fillRect/>
        </a:stretch>
      </xdr:blipFill>
      <xdr:spPr>
        <a:xfrm>
          <a:off x="6816586" y="7733476"/>
          <a:ext cx="3470510" cy="746103"/>
        </a:xfrm>
        <a:prstGeom prst="rect">
          <a:avLst/>
        </a:prstGeom>
      </xdr:spPr>
    </xdr:pic>
    <xdr:clientData/>
  </xdr:twoCellAnchor>
  <xdr:twoCellAnchor editAs="oneCell">
    <xdr:from>
      <xdr:col>11</xdr:col>
      <xdr:colOff>681403</xdr:colOff>
      <xdr:row>38</xdr:row>
      <xdr:rowOff>447260</xdr:rowOff>
    </xdr:from>
    <xdr:to>
      <xdr:col>12</xdr:col>
      <xdr:colOff>952499</xdr:colOff>
      <xdr:row>46</xdr:row>
      <xdr:rowOff>33130</xdr:rowOff>
    </xdr:to>
    <xdr:pic>
      <xdr:nvPicPr>
        <xdr:cNvPr id="7" name="Picture 6">
          <a:extLst>
            <a:ext uri="{FF2B5EF4-FFF2-40B4-BE49-F238E27FC236}">
              <a16:creationId xmlns:a16="http://schemas.microsoft.com/office/drawing/2014/main" id="{9258C6C8-8038-2320-16A5-1C25354E9963}"/>
            </a:ext>
          </a:extLst>
        </xdr:cNvPr>
        <xdr:cNvPicPr>
          <a:picLocks noChangeAspect="1"/>
        </xdr:cNvPicPr>
      </xdr:nvPicPr>
      <xdr:blipFill>
        <a:blip xmlns:r="http://schemas.openxmlformats.org/officeDocument/2006/relationships" r:embed="rId10"/>
        <a:stretch>
          <a:fillRect/>
        </a:stretch>
      </xdr:blipFill>
      <xdr:spPr>
        <a:xfrm>
          <a:off x="12533816" y="11090412"/>
          <a:ext cx="1463792" cy="24516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0</xdr:colOff>
      <xdr:row>23</xdr:row>
      <xdr:rowOff>28576</xdr:rowOff>
    </xdr:from>
    <xdr:to>
      <xdr:col>16</xdr:col>
      <xdr:colOff>133350</xdr:colOff>
      <xdr:row>36</xdr:row>
      <xdr:rowOff>104776</xdr:rowOff>
    </xdr:to>
    <xdr:graphicFrame macro="">
      <xdr:nvGraphicFramePr>
        <xdr:cNvPr id="3" name="Chart 2">
          <a:extLst>
            <a:ext uri="{FF2B5EF4-FFF2-40B4-BE49-F238E27FC236}">
              <a16:creationId xmlns:a16="http://schemas.microsoft.com/office/drawing/2014/main" id="{A82C92FB-F3F0-4459-A8EB-0D4D27A7BB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209550</xdr:colOff>
      <xdr:row>23</xdr:row>
      <xdr:rowOff>38100</xdr:rowOff>
    </xdr:from>
    <xdr:to>
      <xdr:col>10</xdr:col>
      <xdr:colOff>447675</xdr:colOff>
      <xdr:row>36</xdr:row>
      <xdr:rowOff>161925</xdr:rowOff>
    </xdr:to>
    <xdr:graphicFrame macro="">
      <xdr:nvGraphicFramePr>
        <xdr:cNvPr id="2" name="Chart 1">
          <a:extLst>
            <a:ext uri="{FF2B5EF4-FFF2-40B4-BE49-F238E27FC236}">
              <a16:creationId xmlns:a16="http://schemas.microsoft.com/office/drawing/2014/main" id="{0E9A2E42-CCA4-047E-3431-B6CD056FAE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257175</xdr:colOff>
      <xdr:row>23</xdr:row>
      <xdr:rowOff>19050</xdr:rowOff>
    </xdr:from>
    <xdr:to>
      <xdr:col>23</xdr:col>
      <xdr:colOff>123825</xdr:colOff>
      <xdr:row>36</xdr:row>
      <xdr:rowOff>123825</xdr:rowOff>
    </xdr:to>
    <xdr:graphicFrame macro="">
      <xdr:nvGraphicFramePr>
        <xdr:cNvPr id="4" name="Chart 3">
          <a:extLst>
            <a:ext uri="{FF2B5EF4-FFF2-40B4-BE49-F238E27FC236}">
              <a16:creationId xmlns:a16="http://schemas.microsoft.com/office/drawing/2014/main" id="{5AC4107E-2DA9-158B-1EC1-FBCC32A0B1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195262</xdr:colOff>
      <xdr:row>45</xdr:row>
      <xdr:rowOff>19050</xdr:rowOff>
    </xdr:from>
    <xdr:to>
      <xdr:col>19</xdr:col>
      <xdr:colOff>500062</xdr:colOff>
      <xdr:row>59</xdr:row>
      <xdr:rowOff>95250</xdr:rowOff>
    </xdr:to>
    <xdr:graphicFrame macro="">
      <xdr:nvGraphicFramePr>
        <xdr:cNvPr id="5" name="Chart 4">
          <a:extLst>
            <a:ext uri="{FF2B5EF4-FFF2-40B4-BE49-F238E27FC236}">
              <a16:creationId xmlns:a16="http://schemas.microsoft.com/office/drawing/2014/main" id="{7569CA4F-6F2B-0988-37FC-B1FF102F31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552450</xdr:colOff>
      <xdr:row>44</xdr:row>
      <xdr:rowOff>160638</xdr:rowOff>
    </xdr:from>
    <xdr:to>
      <xdr:col>12</xdr:col>
      <xdr:colOff>389688</xdr:colOff>
      <xdr:row>55</xdr:row>
      <xdr:rowOff>28213</xdr:rowOff>
    </xdr:to>
    <xdr:pic>
      <xdr:nvPicPr>
        <xdr:cNvPr id="7" name="Picture 6">
          <a:extLst>
            <a:ext uri="{FF2B5EF4-FFF2-40B4-BE49-F238E27FC236}">
              <a16:creationId xmlns:a16="http://schemas.microsoft.com/office/drawing/2014/main" id="{AF320143-137F-9B35-CA75-0A235B0F77CD}"/>
            </a:ext>
          </a:extLst>
        </xdr:cNvPr>
        <xdr:cNvPicPr>
          <a:picLocks noChangeAspect="1"/>
        </xdr:cNvPicPr>
      </xdr:nvPicPr>
      <xdr:blipFill>
        <a:blip xmlns:r="http://schemas.openxmlformats.org/officeDocument/2006/relationships" r:embed="rId5"/>
        <a:stretch>
          <a:fillRect/>
        </a:stretch>
      </xdr:blipFill>
      <xdr:spPr>
        <a:xfrm>
          <a:off x="5848350" y="8552163"/>
          <a:ext cx="4561638" cy="1972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2764580</xdr:colOff>
      <xdr:row>15</xdr:row>
      <xdr:rowOff>66676</xdr:rowOff>
    </xdr:to>
    <xdr:pic>
      <xdr:nvPicPr>
        <xdr:cNvPr id="5" name="Picture 4">
          <a:extLst>
            <a:ext uri="{FF2B5EF4-FFF2-40B4-BE49-F238E27FC236}">
              <a16:creationId xmlns:a16="http://schemas.microsoft.com/office/drawing/2014/main" id="{FA0D3CFF-87DB-9FEB-5576-758B455840F8}"/>
            </a:ext>
          </a:extLst>
        </xdr:cNvPr>
        <xdr:cNvPicPr>
          <a:picLocks noChangeAspect="1"/>
        </xdr:cNvPicPr>
      </xdr:nvPicPr>
      <xdr:blipFill>
        <a:blip xmlns:r="http://schemas.openxmlformats.org/officeDocument/2006/relationships" r:embed="rId1"/>
        <a:stretch>
          <a:fillRect/>
        </a:stretch>
      </xdr:blipFill>
      <xdr:spPr>
        <a:xfrm>
          <a:off x="0" y="1"/>
          <a:ext cx="2764580" cy="3124200"/>
        </a:xfrm>
        <a:prstGeom prst="rect">
          <a:avLst/>
        </a:prstGeom>
      </xdr:spPr>
    </xdr:pic>
    <xdr:clientData/>
  </xdr:twoCellAnchor>
  <xdr:twoCellAnchor editAs="oneCell">
    <xdr:from>
      <xdr:col>0</xdr:col>
      <xdr:colOff>76200</xdr:colOff>
      <xdr:row>17</xdr:row>
      <xdr:rowOff>28575</xdr:rowOff>
    </xdr:from>
    <xdr:to>
      <xdr:col>0</xdr:col>
      <xdr:colOff>2857500</xdr:colOff>
      <xdr:row>32</xdr:row>
      <xdr:rowOff>17536</xdr:rowOff>
    </xdr:to>
    <xdr:pic>
      <xdr:nvPicPr>
        <xdr:cNvPr id="8" name="Picture 7">
          <a:extLst>
            <a:ext uri="{FF2B5EF4-FFF2-40B4-BE49-F238E27FC236}">
              <a16:creationId xmlns:a16="http://schemas.microsoft.com/office/drawing/2014/main" id="{9F279250-433F-DF73-B9B7-DC7CE3FC5BC5}"/>
            </a:ext>
          </a:extLst>
        </xdr:cNvPr>
        <xdr:cNvPicPr>
          <a:picLocks noChangeAspect="1"/>
        </xdr:cNvPicPr>
      </xdr:nvPicPr>
      <xdr:blipFill>
        <a:blip xmlns:r="http://schemas.openxmlformats.org/officeDocument/2006/relationships" r:embed="rId2"/>
        <a:stretch>
          <a:fillRect/>
        </a:stretch>
      </xdr:blipFill>
      <xdr:spPr>
        <a:xfrm>
          <a:off x="76200" y="3467100"/>
          <a:ext cx="2781300" cy="3094111"/>
        </a:xfrm>
        <a:prstGeom prst="rect">
          <a:avLst/>
        </a:prstGeom>
      </xdr:spPr>
    </xdr:pic>
    <xdr:clientData/>
  </xdr:twoCellAnchor>
  <xdr:twoCellAnchor editAs="oneCell">
    <xdr:from>
      <xdr:col>0</xdr:col>
      <xdr:colOff>0</xdr:colOff>
      <xdr:row>38</xdr:row>
      <xdr:rowOff>9526</xdr:rowOff>
    </xdr:from>
    <xdr:to>
      <xdr:col>0</xdr:col>
      <xdr:colOff>2969549</xdr:colOff>
      <xdr:row>55</xdr:row>
      <xdr:rowOff>76201</xdr:rowOff>
    </xdr:to>
    <xdr:pic>
      <xdr:nvPicPr>
        <xdr:cNvPr id="2" name="Picture 1">
          <a:extLst>
            <a:ext uri="{FF2B5EF4-FFF2-40B4-BE49-F238E27FC236}">
              <a16:creationId xmlns:a16="http://schemas.microsoft.com/office/drawing/2014/main" id="{A720D6AE-DAED-4D32-6224-99EB344BDDDE}"/>
            </a:ext>
          </a:extLst>
        </xdr:cNvPr>
        <xdr:cNvPicPr>
          <a:picLocks noChangeAspect="1"/>
        </xdr:cNvPicPr>
      </xdr:nvPicPr>
      <xdr:blipFill>
        <a:blip xmlns:r="http://schemas.openxmlformats.org/officeDocument/2006/relationships" r:embed="rId3"/>
        <a:stretch>
          <a:fillRect/>
        </a:stretch>
      </xdr:blipFill>
      <xdr:spPr>
        <a:xfrm>
          <a:off x="0" y="7715251"/>
          <a:ext cx="2969549" cy="3543300"/>
        </a:xfrm>
        <a:prstGeom prst="rect">
          <a:avLst/>
        </a:prstGeom>
      </xdr:spPr>
    </xdr:pic>
    <xdr:clientData/>
  </xdr:twoCellAnchor>
  <xdr:twoCellAnchor editAs="oneCell">
    <xdr:from>
      <xdr:col>8</xdr:col>
      <xdr:colOff>589822</xdr:colOff>
      <xdr:row>45</xdr:row>
      <xdr:rowOff>38100</xdr:rowOff>
    </xdr:from>
    <xdr:to>
      <xdr:col>11</xdr:col>
      <xdr:colOff>342662</xdr:colOff>
      <xdr:row>57</xdr:row>
      <xdr:rowOff>161925</xdr:rowOff>
    </xdr:to>
    <xdr:pic>
      <xdr:nvPicPr>
        <xdr:cNvPr id="3" name="Picture 2">
          <a:extLst>
            <a:ext uri="{FF2B5EF4-FFF2-40B4-BE49-F238E27FC236}">
              <a16:creationId xmlns:a16="http://schemas.microsoft.com/office/drawing/2014/main" id="{DD0763AA-FF2D-4B56-2153-951B0E43D814}"/>
            </a:ext>
          </a:extLst>
        </xdr:cNvPr>
        <xdr:cNvPicPr>
          <a:picLocks noChangeAspect="1"/>
        </xdr:cNvPicPr>
      </xdr:nvPicPr>
      <xdr:blipFill>
        <a:blip xmlns:r="http://schemas.openxmlformats.org/officeDocument/2006/relationships" r:embed="rId4"/>
        <a:stretch>
          <a:fillRect/>
        </a:stretch>
      </xdr:blipFill>
      <xdr:spPr>
        <a:xfrm>
          <a:off x="8552722" y="9315450"/>
          <a:ext cx="1572115" cy="24098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311195</xdr:colOff>
      <xdr:row>19</xdr:row>
      <xdr:rowOff>571500</xdr:rowOff>
    </xdr:from>
    <xdr:to>
      <xdr:col>8</xdr:col>
      <xdr:colOff>475820</xdr:colOff>
      <xdr:row>33</xdr:row>
      <xdr:rowOff>37683</xdr:rowOff>
    </xdr:to>
    <xdr:pic>
      <xdr:nvPicPr>
        <xdr:cNvPr id="2" name="Picture 1">
          <a:extLst>
            <a:ext uri="{FF2B5EF4-FFF2-40B4-BE49-F238E27FC236}">
              <a16:creationId xmlns:a16="http://schemas.microsoft.com/office/drawing/2014/main" id="{AC367C66-571B-4F21-988B-24DC2243CD85}"/>
            </a:ext>
          </a:extLst>
        </xdr:cNvPr>
        <xdr:cNvPicPr>
          <a:picLocks noChangeAspect="1"/>
        </xdr:cNvPicPr>
      </xdr:nvPicPr>
      <xdr:blipFill>
        <a:blip xmlns:r="http://schemas.openxmlformats.org/officeDocument/2006/relationships" r:embed="rId1"/>
        <a:stretch>
          <a:fillRect/>
        </a:stretch>
      </xdr:blipFill>
      <xdr:spPr>
        <a:xfrm>
          <a:off x="5378495" y="4371975"/>
          <a:ext cx="2603025" cy="2523708"/>
        </a:xfrm>
        <a:prstGeom prst="rect">
          <a:avLst/>
        </a:prstGeom>
      </xdr:spPr>
    </xdr:pic>
    <xdr:clientData/>
  </xdr:twoCellAnchor>
  <xdr:twoCellAnchor editAs="oneCell">
    <xdr:from>
      <xdr:col>8</xdr:col>
      <xdr:colOff>457200</xdr:colOff>
      <xdr:row>20</xdr:row>
      <xdr:rowOff>95475</xdr:rowOff>
    </xdr:from>
    <xdr:to>
      <xdr:col>17</xdr:col>
      <xdr:colOff>332264</xdr:colOff>
      <xdr:row>30</xdr:row>
      <xdr:rowOff>161517</xdr:rowOff>
    </xdr:to>
    <xdr:pic>
      <xdr:nvPicPr>
        <xdr:cNvPr id="3" name="Picture 2">
          <a:extLst>
            <a:ext uri="{FF2B5EF4-FFF2-40B4-BE49-F238E27FC236}">
              <a16:creationId xmlns:a16="http://schemas.microsoft.com/office/drawing/2014/main" id="{F4406D03-34AD-4192-B8D3-4461FA0C16D7}"/>
            </a:ext>
          </a:extLst>
        </xdr:cNvPr>
        <xdr:cNvPicPr>
          <a:picLocks noChangeAspect="1"/>
        </xdr:cNvPicPr>
      </xdr:nvPicPr>
      <xdr:blipFill>
        <a:blip xmlns:r="http://schemas.openxmlformats.org/officeDocument/2006/relationships" r:embed="rId2"/>
        <a:stretch>
          <a:fillRect/>
        </a:stretch>
      </xdr:blipFill>
      <xdr:spPr>
        <a:xfrm>
          <a:off x="7962900" y="4476975"/>
          <a:ext cx="5361464" cy="1971042"/>
        </a:xfrm>
        <a:prstGeom prst="rect">
          <a:avLst/>
        </a:prstGeom>
      </xdr:spPr>
    </xdr:pic>
    <xdr:clientData/>
  </xdr:twoCellAnchor>
  <xdr:twoCellAnchor editAs="oneCell">
    <xdr:from>
      <xdr:col>3</xdr:col>
      <xdr:colOff>134036</xdr:colOff>
      <xdr:row>9</xdr:row>
      <xdr:rowOff>29308</xdr:rowOff>
    </xdr:from>
    <xdr:to>
      <xdr:col>8</xdr:col>
      <xdr:colOff>51287</xdr:colOff>
      <xdr:row>16</xdr:row>
      <xdr:rowOff>21981</xdr:rowOff>
    </xdr:to>
    <xdr:pic>
      <xdr:nvPicPr>
        <xdr:cNvPr id="4" name="Picture 3">
          <a:extLst>
            <a:ext uri="{FF2B5EF4-FFF2-40B4-BE49-F238E27FC236}">
              <a16:creationId xmlns:a16="http://schemas.microsoft.com/office/drawing/2014/main" id="{2FCA6977-5C78-3D81-42AB-CA1A1FDC212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64651" y="1926981"/>
          <a:ext cx="3280309" cy="13261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mita Rai" refreshedDate="45323.963559722222" createdVersion="8" refreshedVersion="8" minRefreshableVersion="3" recordCount="44" xr:uid="{E7F8031A-A16A-479A-B4F0-6C2017C62559}">
  <cacheSource type="worksheet">
    <worksheetSource name="Table1"/>
  </cacheSource>
  <cacheFields count="7">
    <cacheField name="OrderDate" numFmtId="14">
      <sharedItems containsNonDate="0" containsDate="1" containsString="0" containsBlank="1" minDate="2021-01-06T00:00:00" maxDate="2022-12-22T00:00:00"/>
    </cacheField>
    <cacheField name="Region" numFmtId="0">
      <sharedItems containsBlank="1" count="4">
        <s v="Central"/>
        <s v="East"/>
        <s v="West"/>
        <m/>
      </sharedItems>
    </cacheField>
    <cacheField name="Rep" numFmtId="0">
      <sharedItems containsBlank="1" count="12">
        <s v="Kivell"/>
        <s v="Jardine"/>
        <s v="Gill"/>
        <s v="Andrews"/>
        <s v="Morgan"/>
        <s v="Smith"/>
        <s v="Jones"/>
        <s v="Howard"/>
        <s v="Parent"/>
        <s v="Sorvino"/>
        <s v="Thompson"/>
        <m/>
      </sharedItems>
    </cacheField>
    <cacheField name="Item" numFmtId="0">
      <sharedItems containsBlank="1"/>
    </cacheField>
    <cacheField name="Units" numFmtId="0">
      <sharedItems containsString="0" containsBlank="1" containsNumber="1" containsInteger="1" minValue="3" maxValue="96"/>
    </cacheField>
    <cacheField name="Unit Cost" numFmtId="0">
      <sharedItems containsString="0" containsBlank="1" containsNumber="1" minValue="1.29" maxValue="275"/>
    </cacheField>
    <cacheField name="Total" numFmtId="0">
      <sharedItems containsString="0" containsBlank="1" containsNumber="1" minValue="9.0300000000000011" maxValue="1879.0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
  <r>
    <d v="2021-01-23T00:00:00"/>
    <x v="0"/>
    <x v="0"/>
    <s v="Binder"/>
    <n v="10"/>
    <n v="19.989999999999998"/>
    <n v="199.89999999999998"/>
  </r>
  <r>
    <d v="2021-02-09T00:00:00"/>
    <x v="0"/>
    <x v="1"/>
    <s v="Pencil"/>
    <n v="40"/>
    <n v="4.99"/>
    <n v="199.60000000000002"/>
  </r>
  <r>
    <d v="2021-02-26T00:00:00"/>
    <x v="0"/>
    <x v="2"/>
    <s v="Pen"/>
    <n v="27"/>
    <n v="19.989999999999998"/>
    <n v="539.7299999999999"/>
  </r>
  <r>
    <d v="2021-04-18T00:00:00"/>
    <x v="0"/>
    <x v="3"/>
    <s v="Pencil"/>
    <n v="75"/>
    <n v="1.99"/>
    <n v="149.25"/>
  </r>
  <r>
    <d v="2021-05-05T00:00:00"/>
    <x v="0"/>
    <x v="1"/>
    <s v="Pencil"/>
    <n v="90"/>
    <n v="4.99"/>
    <n v="449.1"/>
  </r>
  <r>
    <d v="2021-06-25T00:00:00"/>
    <x v="0"/>
    <x v="4"/>
    <s v="Pencil"/>
    <n v="90"/>
    <n v="4.99"/>
    <n v="449.1"/>
  </r>
  <r>
    <d v="2021-09-01T00:00:00"/>
    <x v="0"/>
    <x v="5"/>
    <s v="Desk"/>
    <n v="4"/>
    <n v="200"/>
    <n v="800"/>
  </r>
  <r>
    <d v="2021-10-05T00:00:00"/>
    <x v="0"/>
    <x v="4"/>
    <s v="Binder"/>
    <n v="28"/>
    <n v="8.99"/>
    <n v="251.72"/>
  </r>
  <r>
    <d v="2021-11-25T00:00:00"/>
    <x v="0"/>
    <x v="0"/>
    <s v="Pen Set"/>
    <n v="96"/>
    <n v="4.99"/>
    <n v="479.04"/>
  </r>
  <r>
    <d v="2021-12-12T00:00:00"/>
    <x v="0"/>
    <x v="5"/>
    <s v="Pencil"/>
    <n v="67"/>
    <n v="1.29"/>
    <n v="86.43"/>
  </r>
  <r>
    <d v="2022-01-15T00:00:00"/>
    <x v="0"/>
    <x v="2"/>
    <s v="Binder"/>
    <n v="46"/>
    <n v="8.99"/>
    <n v="413.54"/>
  </r>
  <r>
    <d v="2022-02-01T00:00:00"/>
    <x v="0"/>
    <x v="5"/>
    <s v="Binder"/>
    <n v="87"/>
    <n v="15"/>
    <n v="1305"/>
  </r>
  <r>
    <d v="2022-03-24T00:00:00"/>
    <x v="0"/>
    <x v="1"/>
    <s v="Pen Set"/>
    <n v="50"/>
    <n v="4.99"/>
    <n v="249.5"/>
  </r>
  <r>
    <d v="2022-04-10T00:00:00"/>
    <x v="0"/>
    <x v="3"/>
    <s v="Pencil"/>
    <n v="66"/>
    <n v="1.99"/>
    <n v="131.34"/>
  </r>
  <r>
    <d v="2022-05-14T00:00:00"/>
    <x v="0"/>
    <x v="2"/>
    <s v="Pencil"/>
    <n v="53"/>
    <n v="1.29"/>
    <n v="68.37"/>
  </r>
  <r>
    <d v="2022-05-31T00:00:00"/>
    <x v="0"/>
    <x v="2"/>
    <s v="Binder"/>
    <n v="80"/>
    <n v="8.99"/>
    <n v="719.2"/>
  </r>
  <r>
    <d v="2022-06-17T00:00:00"/>
    <x v="0"/>
    <x v="0"/>
    <s v="Desk"/>
    <n v="5"/>
    <n v="125"/>
    <n v="625"/>
  </r>
  <r>
    <d v="2022-07-21T00:00:00"/>
    <x v="0"/>
    <x v="4"/>
    <s v="Pen Set"/>
    <n v="55"/>
    <n v="12.49"/>
    <n v="686.95"/>
  </r>
  <r>
    <d v="2022-08-07T00:00:00"/>
    <x v="0"/>
    <x v="0"/>
    <s v="Pen Set"/>
    <n v="42"/>
    <n v="23.95"/>
    <n v="1005.9"/>
  </r>
  <r>
    <d v="2022-09-10T00:00:00"/>
    <x v="0"/>
    <x v="2"/>
    <s v="Pencil"/>
    <n v="7"/>
    <n v="1.29"/>
    <n v="9.0300000000000011"/>
  </r>
  <r>
    <d v="2022-10-31T00:00:00"/>
    <x v="0"/>
    <x v="3"/>
    <s v="Pencil"/>
    <n v="14"/>
    <n v="1.29"/>
    <n v="18.060000000000002"/>
  </r>
  <r>
    <d v="2022-11-17T00:00:00"/>
    <x v="0"/>
    <x v="1"/>
    <s v="Binder"/>
    <n v="11"/>
    <n v="4.99"/>
    <n v="54.89"/>
  </r>
  <r>
    <d v="2022-12-04T00:00:00"/>
    <x v="0"/>
    <x v="1"/>
    <s v="Binder"/>
    <n v="94"/>
    <n v="19.989999999999998"/>
    <n v="1879.06"/>
  </r>
  <r>
    <d v="2022-12-21T00:00:00"/>
    <x v="0"/>
    <x v="3"/>
    <s v="Binder"/>
    <n v="28"/>
    <n v="4.99"/>
    <n v="139.72"/>
  </r>
  <r>
    <d v="2021-01-06T00:00:00"/>
    <x v="1"/>
    <x v="6"/>
    <s v="Pencil"/>
    <n v="95"/>
    <n v="1.99"/>
    <n v="189.05"/>
  </r>
  <r>
    <d v="2021-04-01T00:00:00"/>
    <x v="1"/>
    <x v="6"/>
    <s v="Binder"/>
    <n v="60"/>
    <n v="4.99"/>
    <n v="299.40000000000003"/>
  </r>
  <r>
    <d v="2021-06-08T00:00:00"/>
    <x v="1"/>
    <x v="6"/>
    <s v="Binder"/>
    <n v="60"/>
    <n v="8.99"/>
    <n v="539.4"/>
  </r>
  <r>
    <d v="2021-07-12T00:00:00"/>
    <x v="1"/>
    <x v="7"/>
    <s v="Binder"/>
    <n v="29"/>
    <n v="1.99"/>
    <n v="57.71"/>
  </r>
  <r>
    <d v="2021-07-29T00:00:00"/>
    <x v="1"/>
    <x v="8"/>
    <s v="Binder"/>
    <n v="81"/>
    <n v="19.989999999999998"/>
    <n v="1619.1899999999998"/>
  </r>
  <r>
    <d v="2021-08-15T00:00:00"/>
    <x v="1"/>
    <x v="6"/>
    <s v="Pencil"/>
    <n v="35"/>
    <n v="4.99"/>
    <n v="174.65"/>
  </r>
  <r>
    <d v="2021-09-18T00:00:00"/>
    <x v="1"/>
    <x v="6"/>
    <s v="Pen Set"/>
    <n v="16"/>
    <n v="15.99"/>
    <n v="255.84"/>
  </r>
  <r>
    <d v="2021-10-22T00:00:00"/>
    <x v="1"/>
    <x v="6"/>
    <s v="Pen"/>
    <n v="64"/>
    <n v="8.99"/>
    <n v="575.36"/>
  </r>
  <r>
    <d v="2021-11-08T00:00:00"/>
    <x v="1"/>
    <x v="8"/>
    <s v="Pen"/>
    <n v="15"/>
    <n v="19.989999999999998"/>
    <n v="299.84999999999997"/>
  </r>
  <r>
    <d v="2021-12-29T00:00:00"/>
    <x v="1"/>
    <x v="8"/>
    <s v="Pen Set"/>
    <n v="74"/>
    <n v="15.99"/>
    <n v="1183.26"/>
  </r>
  <r>
    <d v="2022-02-18T00:00:00"/>
    <x v="1"/>
    <x v="6"/>
    <s v="Binder"/>
    <n v="5"/>
    <n v="6"/>
    <n v="30"/>
  </r>
  <r>
    <d v="2022-04-27T00:00:00"/>
    <x v="1"/>
    <x v="7"/>
    <s v="Pen"/>
    <n v="96"/>
    <n v="4.99"/>
    <n v="479.04"/>
  </r>
  <r>
    <d v="2022-07-04T00:00:00"/>
    <x v="1"/>
    <x v="6"/>
    <s v="Pen Set"/>
    <n v="62"/>
    <n v="4.99"/>
    <n v="309.38"/>
  </r>
  <r>
    <d v="2021-03-15T00:00:00"/>
    <x v="2"/>
    <x v="9"/>
    <s v="Pencil"/>
    <n v="56"/>
    <n v="2.99"/>
    <n v="167.44"/>
  </r>
  <r>
    <d v="2021-05-22T00:00:00"/>
    <x v="2"/>
    <x v="10"/>
    <s v="Pencil"/>
    <n v="32"/>
    <n v="1.99"/>
    <n v="63.68"/>
  </r>
  <r>
    <d v="2022-03-07T00:00:00"/>
    <x v="2"/>
    <x v="9"/>
    <s v="Binder"/>
    <n v="7"/>
    <n v="19.989999999999998"/>
    <n v="139.92999999999998"/>
  </r>
  <r>
    <d v="2022-08-24T00:00:00"/>
    <x v="2"/>
    <x v="9"/>
    <s v="Desk"/>
    <n v="3"/>
    <n v="275"/>
    <n v="825"/>
  </r>
  <r>
    <d v="2022-09-27T00:00:00"/>
    <x v="2"/>
    <x v="9"/>
    <s v="Pen"/>
    <n v="76"/>
    <n v="1.99"/>
    <n v="151.24"/>
  </r>
  <r>
    <d v="2022-10-14T00:00:00"/>
    <x v="2"/>
    <x v="10"/>
    <s v="Binder"/>
    <n v="57"/>
    <n v="19.989999999999998"/>
    <n v="1139.4299999999998"/>
  </r>
  <r>
    <m/>
    <x v="3"/>
    <x v="1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5552899-8A1C-4263-82F9-161E6C5DA807}"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2:J17" firstHeaderRow="1" firstDataRow="1" firstDataCol="1"/>
  <pivotFields count="7">
    <pivotField showAll="0"/>
    <pivotField axis="axisRow" showAll="0">
      <items count="5">
        <item x="0"/>
        <item x="1"/>
        <item x="2"/>
        <item h="1" x="3"/>
        <item t="default"/>
      </items>
    </pivotField>
    <pivotField axis="axisRow" showAll="0">
      <items count="13">
        <item x="3"/>
        <item x="2"/>
        <item x="7"/>
        <item x="1"/>
        <item x="6"/>
        <item x="0"/>
        <item x="4"/>
        <item x="8"/>
        <item x="5"/>
        <item x="9"/>
        <item x="10"/>
        <item x="11"/>
        <item t="default"/>
      </items>
    </pivotField>
    <pivotField showAll="0"/>
    <pivotField showAll="0"/>
    <pivotField showAll="0"/>
    <pivotField dataField="1" showAll="0"/>
  </pivotFields>
  <rowFields count="2">
    <field x="1"/>
    <field x="2"/>
  </rowFields>
  <rowItems count="15">
    <i>
      <x/>
    </i>
    <i r="1">
      <x/>
    </i>
    <i r="1">
      <x v="1"/>
    </i>
    <i r="1">
      <x v="3"/>
    </i>
    <i r="1">
      <x v="5"/>
    </i>
    <i r="1">
      <x v="6"/>
    </i>
    <i r="1">
      <x v="8"/>
    </i>
    <i>
      <x v="1"/>
    </i>
    <i r="1">
      <x v="2"/>
    </i>
    <i r="1">
      <x v="4"/>
    </i>
    <i r="1">
      <x v="7"/>
    </i>
    <i>
      <x v="2"/>
    </i>
    <i r="1">
      <x v="9"/>
    </i>
    <i r="1">
      <x v="10"/>
    </i>
    <i t="grand">
      <x/>
    </i>
  </rowItems>
  <colItems count="1">
    <i/>
  </colItems>
  <dataFields count="1">
    <dataField name="Sum of Total"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0C78936-40F5-4A34-AB14-E228675C4535}" name="Table1" displayName="Table1" ref="A1:G45" totalsRowShown="0" headerRowDxfId="34" dataDxfId="33" tableBorderDxfId="32">
  <autoFilter ref="A1:G45" xr:uid="{30C78936-40F5-4A34-AB14-E228675C4535}"/>
  <tableColumns count="7">
    <tableColumn id="1" xr3:uid="{719FB7CB-CE0D-4A37-928D-17323892BF78}" name="OrderDate" dataDxfId="31"/>
    <tableColumn id="2" xr3:uid="{48D26B01-5B78-4A35-BF23-7246C569C726}" name="Region" dataDxfId="30"/>
    <tableColumn id="3" xr3:uid="{77B04DB7-4A45-4BDE-AA4D-93059086AF61}" name="Rep" dataDxfId="29"/>
    <tableColumn id="4" xr3:uid="{B45DA848-F183-4786-80CA-6EB3E82E57F5}" name="Item" dataDxfId="28"/>
    <tableColumn id="5" xr3:uid="{6E2376DA-2214-4170-8137-5C5F2769E1F5}" name="Units" dataDxfId="27"/>
    <tableColumn id="6" xr3:uid="{2FC1BD59-4C23-445E-B03D-63A610471A45}" name="Unit Cost" dataDxfId="26"/>
    <tableColumn id="7" xr3:uid="{090A102B-7949-49F9-859E-2D7177CEDAA2}" name="Total" dataDxfId="25">
      <calculatedColumnFormula>E2*F2</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C8"/>
  <sheetViews>
    <sheetView workbookViewId="0">
      <selection activeCell="C26" sqref="C26"/>
    </sheetView>
  </sheetViews>
  <sheetFormatPr defaultRowHeight="15" x14ac:dyDescent="0.25"/>
  <cols>
    <col min="2" max="2" width="26.5703125" bestFit="1" customWidth="1"/>
    <col min="3" max="3" width="39.28515625" bestFit="1" customWidth="1"/>
  </cols>
  <sheetData>
    <row r="2" spans="2:3" x14ac:dyDescent="0.25">
      <c r="B2" s="240" t="s">
        <v>0</v>
      </c>
      <c r="C2" s="240"/>
    </row>
    <row r="3" spans="2:3" x14ac:dyDescent="0.25">
      <c r="B3" s="1" t="s">
        <v>1</v>
      </c>
      <c r="C3" s="1" t="s">
        <v>2</v>
      </c>
    </row>
    <row r="4" spans="2:3" x14ac:dyDescent="0.25">
      <c r="B4" s="1" t="s">
        <v>3</v>
      </c>
      <c r="C4" s="1" t="s">
        <v>4</v>
      </c>
    </row>
    <row r="5" spans="2:3" x14ac:dyDescent="0.25">
      <c r="B5" s="1" t="s">
        <v>5</v>
      </c>
      <c r="C5" s="1" t="s">
        <v>6</v>
      </c>
    </row>
    <row r="6" spans="2:3" x14ac:dyDescent="0.25">
      <c r="B6" s="1" t="s">
        <v>7</v>
      </c>
      <c r="C6" s="1" t="s">
        <v>8</v>
      </c>
    </row>
    <row r="8" spans="2:3" x14ac:dyDescent="0.25">
      <c r="B8" t="s">
        <v>9</v>
      </c>
      <c r="C8" t="s">
        <v>10</v>
      </c>
    </row>
  </sheetData>
  <dataConsolidate/>
  <mergeCells count="1">
    <mergeCell ref="B2:C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0C89D-0EFC-42D7-8276-00B32D194840}">
  <sheetPr>
    <tabColor rgb="FFFFFF00"/>
  </sheetPr>
  <dimension ref="A1:O135"/>
  <sheetViews>
    <sheetView tabSelected="1" topLeftCell="A66" zoomScale="115" zoomScaleNormal="115" workbookViewId="0">
      <selection activeCell="B75" sqref="B75:N75"/>
    </sheetView>
  </sheetViews>
  <sheetFormatPr defaultRowHeight="17.25" customHeight="1" x14ac:dyDescent="0.25"/>
  <cols>
    <col min="1" max="1" width="3.140625" style="11" customWidth="1"/>
    <col min="2" max="2" width="18.28515625" customWidth="1"/>
    <col min="3" max="3" width="18.140625" customWidth="1"/>
    <col min="4" max="4" width="16.85546875" customWidth="1"/>
    <col min="5" max="5" width="17.140625" customWidth="1"/>
    <col min="6" max="6" width="17.5703125" customWidth="1"/>
    <col min="7" max="7" width="16.42578125" customWidth="1"/>
    <col min="8" max="8" width="17" customWidth="1"/>
    <col min="9" max="9" width="17.42578125" customWidth="1"/>
    <col min="10" max="10" width="18.140625" customWidth="1"/>
    <col min="11" max="11" width="17.7109375" customWidth="1"/>
    <col min="12" max="12" width="17.85546875" customWidth="1"/>
    <col min="13" max="13" width="16.85546875" customWidth="1"/>
    <col min="14" max="14" width="17.28515625" customWidth="1"/>
  </cols>
  <sheetData>
    <row r="1" spans="1:14" ht="24" customHeight="1" thickBot="1" x14ac:dyDescent="0.4">
      <c r="A1" s="272" t="s">
        <v>84</v>
      </c>
      <c r="B1" s="273"/>
      <c r="C1" s="274"/>
    </row>
    <row r="2" spans="1:14" ht="17.25" customHeight="1" x14ac:dyDescent="0.25">
      <c r="A2" s="24">
        <v>1</v>
      </c>
      <c r="B2" s="275" t="s">
        <v>71</v>
      </c>
      <c r="C2" s="276"/>
      <c r="D2" s="276"/>
      <c r="E2" s="276"/>
      <c r="F2" s="276"/>
      <c r="G2" s="276"/>
      <c r="H2" s="276"/>
      <c r="I2" s="276"/>
      <c r="J2" s="276"/>
      <c r="K2" s="276"/>
      <c r="L2" s="276"/>
      <c r="M2" s="276"/>
      <c r="N2" s="277"/>
    </row>
    <row r="3" spans="1:14" ht="15" x14ac:dyDescent="0.25">
      <c r="A3" s="25">
        <v>2</v>
      </c>
      <c r="B3" s="250" t="s">
        <v>68</v>
      </c>
      <c r="C3" s="249"/>
      <c r="D3" s="249"/>
      <c r="E3" s="249"/>
      <c r="F3" s="249"/>
      <c r="G3" s="249"/>
      <c r="H3" s="249"/>
      <c r="I3" s="249"/>
      <c r="J3" s="249"/>
      <c r="K3" s="249"/>
      <c r="L3" s="249"/>
      <c r="M3" s="249"/>
      <c r="N3" s="251"/>
    </row>
    <row r="4" spans="1:14" ht="15" x14ac:dyDescent="0.25">
      <c r="A4" s="25">
        <v>3</v>
      </c>
      <c r="B4" s="250" t="s">
        <v>69</v>
      </c>
      <c r="C4" s="249"/>
      <c r="D4" s="249"/>
      <c r="E4" s="249"/>
      <c r="F4" s="249"/>
      <c r="G4" s="249"/>
      <c r="H4" s="249"/>
      <c r="I4" s="249"/>
      <c r="J4" s="249"/>
      <c r="K4" s="249"/>
      <c r="L4" s="249"/>
      <c r="M4" s="249"/>
      <c r="N4" s="251"/>
    </row>
    <row r="5" spans="1:14" ht="21" customHeight="1" x14ac:dyDescent="0.25">
      <c r="A5" s="25">
        <v>4</v>
      </c>
      <c r="B5" s="259" t="s">
        <v>67</v>
      </c>
      <c r="C5" s="260"/>
      <c r="D5" s="260"/>
      <c r="E5" s="260"/>
      <c r="F5" s="260"/>
      <c r="G5" s="260"/>
      <c r="H5" s="260"/>
      <c r="I5" s="260"/>
      <c r="J5" s="260"/>
      <c r="K5" s="260"/>
      <c r="L5" s="260"/>
      <c r="M5" s="260"/>
      <c r="N5" s="261"/>
    </row>
    <row r="6" spans="1:14" ht="9" customHeight="1" x14ac:dyDescent="0.25">
      <c r="A6" s="25"/>
      <c r="B6" s="17"/>
      <c r="C6" s="18"/>
      <c r="D6" s="18"/>
      <c r="E6" s="18"/>
      <c r="F6" s="18"/>
      <c r="G6" s="18"/>
      <c r="H6" s="18"/>
      <c r="I6" s="18"/>
      <c r="J6" s="18"/>
      <c r="K6" s="18"/>
      <c r="L6" s="18"/>
      <c r="M6" s="18"/>
      <c r="N6" s="222"/>
    </row>
    <row r="7" spans="1:14" ht="20.25" customHeight="1" thickBot="1" x14ac:dyDescent="0.3">
      <c r="A7" s="25">
        <v>5</v>
      </c>
      <c r="B7" s="263" t="s">
        <v>70</v>
      </c>
      <c r="C7" s="264"/>
      <c r="D7" s="265"/>
      <c r="E7" s="264"/>
      <c r="F7" s="264"/>
      <c r="G7" s="264"/>
      <c r="H7" s="264"/>
      <c r="I7" s="264"/>
      <c r="J7" s="264"/>
      <c r="K7" s="264"/>
      <c r="L7" s="264"/>
      <c r="M7" s="264"/>
      <c r="N7" s="266"/>
    </row>
    <row r="8" spans="1:14" ht="17.25" customHeight="1" thickBot="1" x14ac:dyDescent="0.3">
      <c r="A8" s="25">
        <v>6</v>
      </c>
      <c r="B8" s="19" t="s">
        <v>90</v>
      </c>
      <c r="C8" s="21" t="s">
        <v>72</v>
      </c>
      <c r="D8" s="23">
        <f>1+1</f>
        <v>2</v>
      </c>
      <c r="E8" s="243" t="s">
        <v>73</v>
      </c>
      <c r="F8" s="252"/>
      <c r="G8" s="243"/>
      <c r="H8" s="243"/>
      <c r="I8" s="243"/>
      <c r="J8" s="243"/>
      <c r="K8" s="243"/>
      <c r="L8" s="243"/>
      <c r="M8" s="243"/>
      <c r="N8" s="244"/>
    </row>
    <row r="9" spans="1:14" ht="17.25" customHeight="1" thickBot="1" x14ac:dyDescent="0.3">
      <c r="A9" s="25">
        <v>7</v>
      </c>
      <c r="B9" s="17" t="s">
        <v>91</v>
      </c>
      <c r="C9" s="18" t="s">
        <v>74</v>
      </c>
      <c r="D9" s="22">
        <v>100</v>
      </c>
      <c r="E9" s="20">
        <v>25</v>
      </c>
      <c r="F9" s="23">
        <f>D9-E9</f>
        <v>75</v>
      </c>
      <c r="G9" s="243" t="s">
        <v>75</v>
      </c>
      <c r="H9" s="243"/>
      <c r="I9" s="243"/>
      <c r="J9" s="243"/>
      <c r="K9" s="243"/>
      <c r="L9" s="243"/>
      <c r="M9" s="243"/>
      <c r="N9" s="244"/>
    </row>
    <row r="10" spans="1:14" ht="17.25" customHeight="1" x14ac:dyDescent="0.25">
      <c r="A10" s="25">
        <v>8</v>
      </c>
      <c r="B10" s="259" t="s">
        <v>76</v>
      </c>
      <c r="C10" s="260"/>
      <c r="D10" s="260"/>
      <c r="E10" s="260"/>
      <c r="F10" s="262"/>
      <c r="G10" s="260"/>
      <c r="H10" s="260"/>
      <c r="I10" s="260"/>
      <c r="J10" s="260"/>
      <c r="K10" s="260"/>
      <c r="L10" s="260"/>
      <c r="M10" s="260"/>
      <c r="N10" s="261"/>
    </row>
    <row r="11" spans="1:14" ht="27.75" customHeight="1" x14ac:dyDescent="0.25">
      <c r="A11" s="25"/>
      <c r="B11" s="253" t="s">
        <v>87</v>
      </c>
      <c r="C11" s="254"/>
      <c r="D11" s="254"/>
      <c r="E11" s="254"/>
      <c r="F11" s="254"/>
      <c r="G11" s="254"/>
      <c r="H11" s="254"/>
      <c r="I11" s="254"/>
      <c r="J11" s="254"/>
      <c r="K11" s="254"/>
      <c r="L11" s="254"/>
      <c r="M11" s="254"/>
      <c r="N11" s="255"/>
    </row>
    <row r="12" spans="1:14" ht="9.75" customHeight="1" x14ac:dyDescent="0.25">
      <c r="A12" s="204"/>
      <c r="B12" s="18"/>
      <c r="C12" s="18"/>
      <c r="D12" s="18"/>
      <c r="E12" s="18"/>
      <c r="F12" s="18"/>
      <c r="G12" s="18"/>
      <c r="H12" s="18"/>
      <c r="I12" s="18"/>
      <c r="J12" s="18"/>
      <c r="K12" s="18"/>
      <c r="L12" s="18"/>
      <c r="M12" s="18"/>
      <c r="N12" s="18"/>
    </row>
    <row r="13" spans="1:14" ht="17.25" customHeight="1" x14ac:dyDescent="0.25">
      <c r="A13" s="25">
        <v>9</v>
      </c>
      <c r="B13" s="250" t="s">
        <v>77</v>
      </c>
      <c r="C13" s="249"/>
      <c r="D13" s="249"/>
      <c r="E13" s="249"/>
      <c r="F13" s="249"/>
      <c r="G13" s="249"/>
      <c r="H13" s="249"/>
      <c r="I13" s="249"/>
      <c r="J13" s="249"/>
      <c r="K13" s="249"/>
      <c r="L13" s="249"/>
      <c r="M13" s="249"/>
      <c r="N13" s="251"/>
    </row>
    <row r="14" spans="1:14" ht="17.25" customHeight="1" x14ac:dyDescent="0.25">
      <c r="A14" s="25">
        <v>10</v>
      </c>
      <c r="B14" s="250" t="s">
        <v>78</v>
      </c>
      <c r="C14" s="249"/>
      <c r="D14" s="249"/>
      <c r="E14" s="249"/>
      <c r="F14" s="249"/>
      <c r="G14" s="249"/>
      <c r="H14" s="249"/>
      <c r="I14" s="249"/>
      <c r="J14" s="249"/>
      <c r="K14" s="249"/>
      <c r="L14" s="249"/>
      <c r="M14" s="249"/>
      <c r="N14" s="251"/>
    </row>
    <row r="15" spans="1:14" ht="17.25" customHeight="1" x14ac:dyDescent="0.25">
      <c r="A15" s="25">
        <v>11</v>
      </c>
      <c r="B15" s="250" t="s">
        <v>79</v>
      </c>
      <c r="C15" s="249"/>
      <c r="D15" s="249"/>
      <c r="E15" s="249"/>
      <c r="F15" s="249"/>
      <c r="G15" s="249"/>
      <c r="H15" s="249"/>
      <c r="I15" s="249"/>
      <c r="J15" s="249"/>
      <c r="K15" s="249"/>
      <c r="L15" s="249"/>
      <c r="M15" s="249"/>
      <c r="N15" s="251"/>
    </row>
    <row r="16" spans="1:14" ht="47.25" customHeight="1" x14ac:dyDescent="0.25">
      <c r="A16" s="25">
        <v>12</v>
      </c>
      <c r="B16" s="250" t="s">
        <v>83</v>
      </c>
      <c r="C16" s="249"/>
      <c r="D16" s="249"/>
      <c r="E16" s="249"/>
      <c r="F16" s="249"/>
      <c r="G16" s="249"/>
      <c r="H16" s="249"/>
      <c r="I16" s="249"/>
      <c r="J16" s="249"/>
      <c r="K16" s="249"/>
      <c r="L16" s="249"/>
      <c r="M16" s="249"/>
      <c r="N16" s="251"/>
    </row>
    <row r="17" spans="1:14" ht="9.75" customHeight="1" x14ac:dyDescent="0.25">
      <c r="A17" s="204"/>
      <c r="B17" s="18"/>
      <c r="C17" s="18"/>
      <c r="D17" s="18"/>
      <c r="E17" s="18"/>
      <c r="F17" s="18"/>
      <c r="G17" s="18"/>
      <c r="H17" s="18"/>
      <c r="I17" s="18"/>
      <c r="J17" s="18"/>
      <c r="K17" s="18"/>
      <c r="L17" s="18"/>
      <c r="M17" s="18"/>
      <c r="N17" s="18"/>
    </row>
    <row r="18" spans="1:14" ht="17.25" customHeight="1" x14ac:dyDescent="0.25">
      <c r="A18" s="25">
        <v>13</v>
      </c>
      <c r="B18" s="256" t="s">
        <v>81</v>
      </c>
      <c r="C18" s="257"/>
      <c r="D18" s="257"/>
      <c r="E18" s="257"/>
      <c r="F18" s="257"/>
      <c r="G18" s="257"/>
      <c r="H18" s="257"/>
      <c r="I18" s="257"/>
      <c r="J18" s="257"/>
      <c r="K18" s="257"/>
      <c r="L18" s="257"/>
      <c r="M18" s="257"/>
      <c r="N18" s="258"/>
    </row>
    <row r="19" spans="1:14" ht="20.25" customHeight="1" x14ac:dyDescent="0.25">
      <c r="A19" s="25">
        <v>14</v>
      </c>
      <c r="B19" s="259" t="s">
        <v>80</v>
      </c>
      <c r="C19" s="260"/>
      <c r="D19" s="260"/>
      <c r="E19" s="260"/>
      <c r="F19" s="260"/>
      <c r="G19" s="260"/>
      <c r="H19" s="260"/>
      <c r="I19" s="260"/>
      <c r="J19" s="260"/>
      <c r="K19" s="260"/>
      <c r="L19" s="260"/>
      <c r="M19" s="260"/>
      <c r="N19" s="261"/>
    </row>
    <row r="20" spans="1:14" ht="17.25" customHeight="1" x14ac:dyDescent="0.25">
      <c r="A20" s="25">
        <v>15</v>
      </c>
      <c r="B20" s="250" t="s">
        <v>82</v>
      </c>
      <c r="C20" s="249"/>
      <c r="D20" s="249"/>
      <c r="E20" s="249"/>
      <c r="F20" s="249"/>
      <c r="G20" s="249"/>
      <c r="H20" s="249"/>
      <c r="I20" s="249"/>
      <c r="J20" s="249"/>
      <c r="K20" s="249"/>
      <c r="L20" s="249"/>
      <c r="M20" s="249"/>
      <c r="N20" s="251"/>
    </row>
    <row r="21" spans="1:14" ht="17.25" customHeight="1" x14ac:dyDescent="0.25">
      <c r="A21" s="25">
        <v>16</v>
      </c>
      <c r="B21" s="250" t="s">
        <v>85</v>
      </c>
      <c r="C21" s="249"/>
      <c r="D21" s="249"/>
      <c r="E21" s="249"/>
      <c r="F21" s="249"/>
      <c r="G21" s="249"/>
      <c r="H21" s="249"/>
      <c r="I21" s="249"/>
      <c r="J21" s="249"/>
      <c r="K21" s="249"/>
      <c r="L21" s="249"/>
      <c r="M21" s="249"/>
      <c r="N21" s="251"/>
    </row>
    <row r="22" spans="1:14" ht="17.25" customHeight="1" x14ac:dyDescent="0.25">
      <c r="A22" s="25">
        <v>17</v>
      </c>
      <c r="B22" s="250" t="s">
        <v>86</v>
      </c>
      <c r="C22" s="249"/>
      <c r="D22" s="249"/>
      <c r="E22" s="249"/>
      <c r="F22" s="249"/>
      <c r="G22" s="249"/>
      <c r="H22" s="249"/>
      <c r="I22" s="249"/>
      <c r="J22" s="249"/>
      <c r="K22" s="249"/>
      <c r="L22" s="249"/>
      <c r="M22" s="249"/>
      <c r="N22" s="251"/>
    </row>
    <row r="23" spans="1:14" ht="9" customHeight="1" x14ac:dyDescent="0.25">
      <c r="A23" s="204"/>
      <c r="B23" s="18"/>
      <c r="C23" s="18"/>
      <c r="D23" s="18"/>
      <c r="E23" s="18"/>
      <c r="F23" s="18"/>
      <c r="G23" s="18"/>
      <c r="H23" s="18"/>
      <c r="I23" s="18"/>
      <c r="J23" s="18"/>
      <c r="K23" s="18"/>
      <c r="L23" s="18"/>
      <c r="M23" s="18"/>
      <c r="N23" s="18"/>
    </row>
    <row r="24" spans="1:14" ht="17.25" customHeight="1" x14ac:dyDescent="0.25">
      <c r="A24" s="25">
        <v>18</v>
      </c>
      <c r="B24" s="250" t="s">
        <v>88</v>
      </c>
      <c r="C24" s="249"/>
      <c r="D24" s="249"/>
      <c r="E24" s="249"/>
      <c r="F24" s="249"/>
      <c r="G24" s="249"/>
      <c r="H24" s="249"/>
      <c r="I24" s="249"/>
      <c r="J24" s="249"/>
      <c r="K24" s="249"/>
      <c r="L24" s="249"/>
      <c r="M24" s="249"/>
      <c r="N24" s="251"/>
    </row>
    <row r="25" spans="1:14" ht="28.5" customHeight="1" x14ac:dyDescent="0.25">
      <c r="A25" s="25">
        <v>19</v>
      </c>
      <c r="B25" s="250" t="s">
        <v>94</v>
      </c>
      <c r="C25" s="249"/>
      <c r="D25" s="249"/>
      <c r="E25" s="249"/>
      <c r="F25" s="249"/>
      <c r="G25" s="249"/>
      <c r="H25" s="249"/>
      <c r="I25" s="249"/>
      <c r="J25" s="249"/>
      <c r="K25" s="249"/>
      <c r="L25" s="249"/>
      <c r="M25" s="249"/>
      <c r="N25" s="251"/>
    </row>
    <row r="26" spans="1:14" ht="63.75" customHeight="1" x14ac:dyDescent="0.25">
      <c r="A26" s="25">
        <v>20</v>
      </c>
      <c r="B26" s="250" t="s">
        <v>89</v>
      </c>
      <c r="C26" s="249"/>
      <c r="D26" s="249"/>
      <c r="E26" s="249"/>
      <c r="F26" s="249"/>
      <c r="G26" s="249"/>
      <c r="H26" s="249"/>
      <c r="I26" s="249"/>
      <c r="J26" s="249"/>
      <c r="K26" s="249"/>
      <c r="L26" s="249"/>
      <c r="M26" s="249"/>
      <c r="N26" s="251"/>
    </row>
    <row r="27" spans="1:14" ht="9" customHeight="1" x14ac:dyDescent="0.25">
      <c r="A27" s="204"/>
      <c r="B27" s="18"/>
      <c r="C27" s="18"/>
      <c r="D27" s="18"/>
      <c r="E27" s="18"/>
      <c r="F27" s="18"/>
      <c r="G27" s="18"/>
      <c r="H27" s="18"/>
      <c r="I27" s="18"/>
      <c r="J27" s="18"/>
      <c r="K27" s="18"/>
      <c r="L27" s="18"/>
      <c r="M27" s="18"/>
      <c r="N27" s="18"/>
    </row>
    <row r="28" spans="1:14" ht="17.25" customHeight="1" x14ac:dyDescent="0.25">
      <c r="A28" s="26">
        <v>21</v>
      </c>
      <c r="B28" s="250" t="s">
        <v>93</v>
      </c>
      <c r="C28" s="249"/>
      <c r="D28" s="249"/>
      <c r="E28" s="249"/>
      <c r="F28" s="249"/>
      <c r="G28" s="249"/>
      <c r="H28" s="249"/>
      <c r="I28" s="249"/>
      <c r="J28" s="249"/>
      <c r="K28" s="249"/>
      <c r="L28" s="249"/>
      <c r="M28" s="249"/>
      <c r="N28" s="251"/>
    </row>
    <row r="29" spans="1:14" ht="27.75" customHeight="1" x14ac:dyDescent="0.25">
      <c r="A29" s="25">
        <v>22</v>
      </c>
      <c r="B29" s="250" t="s">
        <v>92</v>
      </c>
      <c r="C29" s="249"/>
      <c r="D29" s="249"/>
      <c r="E29" s="249"/>
      <c r="F29" s="249"/>
      <c r="G29" s="249"/>
      <c r="H29" s="249"/>
      <c r="I29" s="249"/>
      <c r="J29" s="249"/>
      <c r="K29" s="249"/>
      <c r="L29" s="249"/>
      <c r="M29" s="249"/>
      <c r="N29" s="251"/>
    </row>
    <row r="30" spans="1:14" ht="8.25" customHeight="1" x14ac:dyDescent="0.25">
      <c r="A30" s="25"/>
      <c r="B30" s="219"/>
      <c r="C30" s="220"/>
      <c r="D30" s="220"/>
      <c r="E30" s="220"/>
      <c r="F30" s="220"/>
      <c r="G30" s="220"/>
      <c r="H30" s="220"/>
      <c r="I30" s="220"/>
      <c r="J30" s="220"/>
      <c r="K30" s="220"/>
      <c r="L30" s="220"/>
      <c r="M30" s="220"/>
      <c r="N30" s="221"/>
    </row>
    <row r="31" spans="1:14" ht="28.5" customHeight="1" x14ac:dyDescent="0.25">
      <c r="A31" s="25">
        <v>23</v>
      </c>
      <c r="B31" s="250" t="s">
        <v>96</v>
      </c>
      <c r="C31" s="249"/>
      <c r="D31" s="249"/>
      <c r="E31" s="249"/>
      <c r="F31" s="249"/>
      <c r="G31" s="249"/>
      <c r="H31" s="249"/>
      <c r="I31" s="249"/>
      <c r="J31" s="249"/>
      <c r="K31" s="249"/>
      <c r="L31" s="249"/>
      <c r="M31" s="249"/>
      <c r="N31" s="251"/>
    </row>
    <row r="32" spans="1:14" ht="17.25" customHeight="1" x14ac:dyDescent="0.25">
      <c r="A32" s="25">
        <v>24</v>
      </c>
      <c r="B32" s="250" t="s">
        <v>97</v>
      </c>
      <c r="C32" s="249"/>
      <c r="D32" s="249"/>
      <c r="E32" s="249"/>
      <c r="F32" s="249"/>
      <c r="G32" s="249"/>
      <c r="H32" s="249"/>
      <c r="I32" s="249"/>
      <c r="J32" s="249"/>
      <c r="K32" s="249"/>
      <c r="L32" s="249"/>
      <c r="M32" s="249"/>
      <c r="N32" s="251"/>
    </row>
    <row r="33" spans="1:14" ht="9.75" customHeight="1" x14ac:dyDescent="0.25">
      <c r="A33" s="204"/>
      <c r="B33" s="18"/>
      <c r="C33" s="18"/>
      <c r="D33" s="18"/>
      <c r="E33" s="18"/>
      <c r="F33" s="18"/>
      <c r="G33" s="18"/>
      <c r="H33" s="18"/>
      <c r="I33" s="18"/>
      <c r="J33" s="18"/>
      <c r="K33" s="18"/>
      <c r="L33" s="18"/>
      <c r="M33" s="18"/>
      <c r="N33" s="18"/>
    </row>
    <row r="34" spans="1:14" ht="17.25" customHeight="1" x14ac:dyDescent="0.25">
      <c r="A34" s="25">
        <v>25</v>
      </c>
      <c r="B34" s="263" t="s">
        <v>98</v>
      </c>
      <c r="C34" s="249"/>
      <c r="D34" s="249"/>
      <c r="E34" s="249"/>
      <c r="F34" s="249"/>
      <c r="G34" s="249"/>
      <c r="H34" s="249"/>
      <c r="I34" s="249"/>
      <c r="J34" s="249"/>
      <c r="K34" s="249"/>
      <c r="L34" s="249"/>
      <c r="M34" s="249"/>
      <c r="N34" s="251"/>
    </row>
    <row r="35" spans="1:14" ht="17.25" customHeight="1" x14ac:dyDescent="0.25">
      <c r="A35" s="25">
        <v>26</v>
      </c>
      <c r="B35" s="250" t="s">
        <v>99</v>
      </c>
      <c r="C35" s="249"/>
      <c r="D35" s="249"/>
      <c r="E35" s="249"/>
      <c r="F35" s="249"/>
      <c r="G35" s="249"/>
      <c r="H35" s="249"/>
      <c r="I35" s="249"/>
      <c r="J35" s="249"/>
      <c r="K35" s="249"/>
      <c r="L35" s="249"/>
      <c r="M35" s="249"/>
      <c r="N35" s="251"/>
    </row>
    <row r="36" spans="1:14" ht="45.75" customHeight="1" x14ac:dyDescent="0.25">
      <c r="A36" s="25">
        <v>27</v>
      </c>
      <c r="B36" s="250" t="s">
        <v>100</v>
      </c>
      <c r="C36" s="249"/>
      <c r="D36" s="249"/>
      <c r="E36" s="249"/>
      <c r="F36" s="249"/>
      <c r="G36" s="249"/>
      <c r="H36" s="249"/>
      <c r="I36" s="249"/>
      <c r="J36" s="249"/>
      <c r="K36" s="249"/>
      <c r="L36" s="249"/>
      <c r="M36" s="249"/>
      <c r="N36" s="251"/>
    </row>
    <row r="37" spans="1:14" ht="17.25" customHeight="1" x14ac:dyDescent="0.25">
      <c r="A37" s="25">
        <v>28</v>
      </c>
      <c r="B37" s="250" t="s">
        <v>101</v>
      </c>
      <c r="C37" s="249"/>
      <c r="D37" s="249"/>
      <c r="E37" s="249"/>
      <c r="F37" s="249"/>
      <c r="G37" s="249"/>
      <c r="H37" s="249"/>
      <c r="I37" s="249"/>
      <c r="J37" s="249"/>
      <c r="K37" s="249"/>
      <c r="L37" s="249"/>
      <c r="M37" s="249"/>
      <c r="N37" s="251"/>
    </row>
    <row r="38" spans="1:14" ht="42.75" customHeight="1" x14ac:dyDescent="0.25">
      <c r="A38" s="25">
        <v>29</v>
      </c>
      <c r="B38" s="259" t="s">
        <v>102</v>
      </c>
      <c r="C38" s="260"/>
      <c r="D38" s="260"/>
      <c r="E38" s="260"/>
      <c r="F38" s="260"/>
      <c r="G38" s="260"/>
      <c r="H38" s="260"/>
      <c r="I38" s="260"/>
      <c r="J38" s="260"/>
      <c r="K38" s="260"/>
      <c r="L38" s="260"/>
      <c r="M38" s="260"/>
      <c r="N38" s="261"/>
    </row>
    <row r="39" spans="1:14" ht="78" customHeight="1" x14ac:dyDescent="0.25">
      <c r="A39" s="25">
        <v>30</v>
      </c>
      <c r="B39" s="250" t="s">
        <v>103</v>
      </c>
      <c r="C39" s="249"/>
      <c r="D39" s="249"/>
      <c r="E39" s="249"/>
      <c r="F39" s="249"/>
      <c r="G39" s="249"/>
      <c r="H39" s="249"/>
      <c r="I39" s="249"/>
      <c r="J39" s="249"/>
      <c r="K39" s="249"/>
      <c r="L39" s="249"/>
      <c r="M39" s="249"/>
      <c r="N39" s="251"/>
    </row>
    <row r="40" spans="1:14" ht="9" customHeight="1" x14ac:dyDescent="0.25">
      <c r="A40" s="204"/>
      <c r="B40" s="18"/>
      <c r="C40" s="18"/>
      <c r="D40" s="18"/>
      <c r="E40" s="18"/>
      <c r="F40" s="18"/>
      <c r="G40" s="18"/>
      <c r="H40" s="18"/>
      <c r="I40" s="18"/>
      <c r="J40" s="18"/>
      <c r="K40" s="18"/>
      <c r="L40" s="18"/>
      <c r="M40" s="18"/>
      <c r="N40" s="18"/>
    </row>
    <row r="41" spans="1:14" ht="29.25" customHeight="1" x14ac:dyDescent="0.25">
      <c r="A41" s="25">
        <v>31</v>
      </c>
      <c r="B41" s="242" t="s">
        <v>114</v>
      </c>
      <c r="C41" s="243"/>
      <c r="D41" s="243"/>
      <c r="E41" s="243"/>
      <c r="F41" s="243"/>
      <c r="G41" s="243"/>
      <c r="H41" s="243"/>
      <c r="I41" s="243"/>
      <c r="J41" s="243"/>
      <c r="K41" s="243"/>
      <c r="L41" s="243"/>
      <c r="M41" s="243"/>
      <c r="N41" s="244"/>
    </row>
    <row r="42" spans="1:14" ht="28.5" customHeight="1" x14ac:dyDescent="0.25">
      <c r="A42" s="25">
        <v>32</v>
      </c>
      <c r="B42" s="242" t="s">
        <v>115</v>
      </c>
      <c r="C42" s="243"/>
      <c r="D42" s="243"/>
      <c r="E42" s="243"/>
      <c r="F42" s="243"/>
      <c r="G42" s="243"/>
      <c r="H42" s="243"/>
      <c r="I42" s="243"/>
      <c r="J42" s="243"/>
      <c r="K42" s="243"/>
      <c r="L42" s="243"/>
      <c r="M42" s="243"/>
      <c r="N42" s="244"/>
    </row>
    <row r="43" spans="1:14" ht="17.25" customHeight="1" x14ac:dyDescent="0.25">
      <c r="A43" s="25">
        <v>33</v>
      </c>
      <c r="B43" s="268" t="s">
        <v>160</v>
      </c>
      <c r="C43" s="249"/>
      <c r="D43" s="249"/>
      <c r="E43" s="249"/>
      <c r="F43" s="249"/>
      <c r="G43" s="249"/>
      <c r="H43" s="249"/>
      <c r="I43" s="249"/>
      <c r="J43" s="249"/>
      <c r="K43" s="249"/>
      <c r="L43" s="249"/>
      <c r="M43" s="249"/>
      <c r="N43" s="251"/>
    </row>
    <row r="44" spans="1:14" ht="29.25" customHeight="1" x14ac:dyDescent="0.25">
      <c r="A44" s="25">
        <v>34</v>
      </c>
      <c r="B44" s="250" t="s">
        <v>193</v>
      </c>
      <c r="C44" s="249"/>
      <c r="D44" s="249"/>
      <c r="E44" s="249"/>
      <c r="F44" s="249"/>
      <c r="G44" s="249"/>
      <c r="H44" s="249"/>
      <c r="I44" s="249"/>
      <c r="J44" s="249"/>
      <c r="K44" s="249"/>
      <c r="L44" s="249"/>
      <c r="M44" s="249"/>
      <c r="N44" s="251"/>
    </row>
    <row r="45" spans="1:14" ht="17.25" customHeight="1" x14ac:dyDescent="0.25">
      <c r="A45" s="25">
        <v>35</v>
      </c>
      <c r="B45" s="250" t="s">
        <v>197</v>
      </c>
      <c r="C45" s="249"/>
      <c r="D45" s="249"/>
      <c r="E45" s="249"/>
      <c r="F45" s="249"/>
      <c r="G45" s="249"/>
      <c r="H45" s="249"/>
      <c r="I45" s="249"/>
      <c r="J45" s="249"/>
      <c r="K45" s="249"/>
      <c r="L45" s="249"/>
      <c r="M45" s="249"/>
      <c r="N45" s="251"/>
    </row>
    <row r="46" spans="1:14" ht="17.25" customHeight="1" x14ac:dyDescent="0.25">
      <c r="A46" s="25">
        <v>36</v>
      </c>
      <c r="B46" s="259" t="s">
        <v>202</v>
      </c>
      <c r="C46" s="260"/>
      <c r="D46" s="260"/>
      <c r="E46" s="260"/>
      <c r="F46" s="260"/>
      <c r="G46" s="260"/>
      <c r="H46" s="260"/>
      <c r="I46" s="260"/>
      <c r="J46" s="260"/>
      <c r="K46" s="260"/>
      <c r="L46" s="260"/>
      <c r="M46" s="260"/>
      <c r="N46" s="261"/>
    </row>
    <row r="47" spans="1:14" ht="12" customHeight="1" x14ac:dyDescent="0.25">
      <c r="A47" s="25"/>
      <c r="B47" s="250"/>
      <c r="C47" s="249"/>
      <c r="D47" s="249"/>
      <c r="E47" s="249"/>
      <c r="F47" s="249"/>
      <c r="G47" s="249"/>
      <c r="H47" s="249"/>
      <c r="I47" s="249"/>
      <c r="J47" s="249"/>
      <c r="K47" s="249"/>
      <c r="L47" s="249"/>
      <c r="M47" s="249"/>
      <c r="N47" s="251"/>
    </row>
    <row r="48" spans="1:14" ht="17.25" customHeight="1" x14ac:dyDescent="0.25">
      <c r="A48" s="25">
        <v>37</v>
      </c>
      <c r="B48" s="250" t="s">
        <v>206</v>
      </c>
      <c r="C48" s="249"/>
      <c r="D48" s="249"/>
      <c r="E48" s="249"/>
      <c r="F48" s="249"/>
      <c r="G48" s="249"/>
      <c r="H48" s="249"/>
      <c r="I48" s="249"/>
      <c r="J48" s="249"/>
      <c r="K48" s="249"/>
      <c r="L48" s="249"/>
      <c r="M48" s="249"/>
      <c r="N48" s="251"/>
    </row>
    <row r="49" spans="1:14" ht="17.25" customHeight="1" x14ac:dyDescent="0.25">
      <c r="A49" s="25">
        <v>38</v>
      </c>
      <c r="B49" s="250" t="s">
        <v>236</v>
      </c>
      <c r="C49" s="249"/>
      <c r="D49" s="249"/>
      <c r="E49" s="249"/>
      <c r="F49" s="249"/>
      <c r="G49" s="249"/>
      <c r="H49" s="249"/>
      <c r="I49" s="249"/>
      <c r="J49" s="249"/>
      <c r="K49" s="249"/>
      <c r="L49" s="249"/>
      <c r="M49" s="249"/>
      <c r="N49" s="251"/>
    </row>
    <row r="50" spans="1:14" ht="9.75" customHeight="1" x14ac:dyDescent="0.25">
      <c r="A50" s="25"/>
      <c r="B50" s="269"/>
      <c r="C50" s="270"/>
      <c r="D50" s="270"/>
      <c r="E50" s="270"/>
      <c r="F50" s="270"/>
      <c r="G50" s="270"/>
      <c r="H50" s="270"/>
      <c r="I50" s="270"/>
      <c r="J50" s="270"/>
      <c r="K50" s="270"/>
      <c r="L50" s="270"/>
      <c r="M50" s="270"/>
      <c r="N50" s="271"/>
    </row>
    <row r="51" spans="1:14" ht="17.25" customHeight="1" x14ac:dyDescent="0.25">
      <c r="A51" s="25">
        <v>39</v>
      </c>
      <c r="B51" s="250" t="s">
        <v>95</v>
      </c>
      <c r="C51" s="249"/>
      <c r="D51" s="249"/>
      <c r="E51" s="249"/>
      <c r="F51" s="249"/>
      <c r="G51" s="249"/>
      <c r="H51" s="249"/>
      <c r="I51" s="249"/>
      <c r="J51" s="249"/>
      <c r="K51" s="249"/>
      <c r="L51" s="249"/>
      <c r="M51" s="249"/>
      <c r="N51" s="251"/>
    </row>
    <row r="52" spans="1:14" ht="43.5" customHeight="1" x14ac:dyDescent="0.25">
      <c r="A52" s="25">
        <v>40</v>
      </c>
      <c r="B52" s="250" t="s">
        <v>250</v>
      </c>
      <c r="C52" s="249"/>
      <c r="D52" s="249"/>
      <c r="E52" s="249"/>
      <c r="F52" s="249"/>
      <c r="G52" s="249"/>
      <c r="H52" s="249"/>
      <c r="I52" s="249"/>
      <c r="J52" s="249"/>
      <c r="K52" s="249"/>
      <c r="L52" s="249"/>
      <c r="M52" s="249"/>
      <c r="N52" s="251"/>
    </row>
    <row r="53" spans="1:14" ht="49.5" customHeight="1" x14ac:dyDescent="0.25">
      <c r="A53" s="25">
        <v>41</v>
      </c>
      <c r="B53" s="250" t="s">
        <v>251</v>
      </c>
      <c r="C53" s="249"/>
      <c r="D53" s="249"/>
      <c r="E53" s="249"/>
      <c r="F53" s="249"/>
      <c r="G53" s="249"/>
      <c r="H53" s="249"/>
      <c r="I53" s="249"/>
      <c r="J53" s="249"/>
      <c r="K53" s="249"/>
      <c r="L53" s="249"/>
      <c r="M53" s="249"/>
      <c r="N53" s="251"/>
    </row>
    <row r="54" spans="1:14" ht="27.75" customHeight="1" x14ac:dyDescent="0.25">
      <c r="A54" s="25"/>
      <c r="B54" s="242" t="s">
        <v>385</v>
      </c>
      <c r="C54" s="243"/>
      <c r="D54" s="243"/>
      <c r="E54" s="243"/>
      <c r="F54" s="243"/>
      <c r="G54" s="243"/>
      <c r="H54" s="243"/>
      <c r="I54" s="243"/>
      <c r="J54" s="243"/>
      <c r="K54" s="243"/>
      <c r="L54" s="243"/>
      <c r="M54" s="243"/>
      <c r="N54" s="244"/>
    </row>
    <row r="55" spans="1:14" ht="29.25" customHeight="1" x14ac:dyDescent="0.25">
      <c r="A55" s="25">
        <v>42</v>
      </c>
      <c r="B55" s="250" t="s">
        <v>315</v>
      </c>
      <c r="C55" s="249"/>
      <c r="D55" s="249"/>
      <c r="E55" s="249"/>
      <c r="F55" s="249"/>
      <c r="G55" s="249"/>
      <c r="H55" s="249"/>
      <c r="I55" s="249"/>
      <c r="J55" s="249"/>
      <c r="K55" s="249"/>
      <c r="L55" s="249"/>
      <c r="M55" s="249"/>
      <c r="N55" s="251"/>
    </row>
    <row r="56" spans="1:14" ht="35.25" customHeight="1" x14ac:dyDescent="0.25">
      <c r="A56" s="25">
        <v>43</v>
      </c>
      <c r="B56" s="250" t="s">
        <v>311</v>
      </c>
      <c r="C56" s="249"/>
      <c r="D56" s="249"/>
      <c r="E56" s="249"/>
      <c r="F56" s="249"/>
      <c r="G56" s="249"/>
      <c r="H56" s="249"/>
      <c r="I56" s="249"/>
      <c r="J56" s="249"/>
      <c r="K56" s="249"/>
      <c r="L56" s="249"/>
      <c r="M56" s="249"/>
      <c r="N56" s="251"/>
    </row>
    <row r="57" spans="1:14" ht="28.5" customHeight="1" x14ac:dyDescent="0.25">
      <c r="A57" s="25">
        <v>44</v>
      </c>
      <c r="B57" s="250" t="s">
        <v>314</v>
      </c>
      <c r="C57" s="249"/>
      <c r="D57" s="249"/>
      <c r="E57" s="249"/>
      <c r="F57" s="249"/>
      <c r="G57" s="249"/>
      <c r="H57" s="249"/>
      <c r="I57" s="249"/>
      <c r="J57" s="249"/>
      <c r="K57" s="249"/>
      <c r="L57" s="249"/>
      <c r="M57" s="249"/>
      <c r="N57" s="251"/>
    </row>
    <row r="58" spans="1:14" ht="48.75" customHeight="1" x14ac:dyDescent="0.25">
      <c r="A58" s="25">
        <v>45</v>
      </c>
      <c r="B58" s="250" t="s">
        <v>312</v>
      </c>
      <c r="C58" s="249"/>
      <c r="D58" s="249"/>
      <c r="E58" s="249"/>
      <c r="F58" s="249"/>
      <c r="G58" s="249"/>
      <c r="H58" s="249"/>
      <c r="I58" s="249"/>
      <c r="J58" s="249"/>
      <c r="K58" s="249"/>
      <c r="L58" s="249"/>
      <c r="M58" s="249"/>
      <c r="N58" s="251"/>
    </row>
    <row r="59" spans="1:14" ht="17.25" customHeight="1" x14ac:dyDescent="0.25">
      <c r="A59" s="25">
        <v>46</v>
      </c>
      <c r="B59" s="250" t="s">
        <v>316</v>
      </c>
      <c r="C59" s="249"/>
      <c r="D59" s="249"/>
      <c r="E59" s="249"/>
      <c r="F59" s="249"/>
      <c r="G59" s="249"/>
      <c r="H59" s="249"/>
      <c r="I59" s="249"/>
      <c r="J59" s="249"/>
      <c r="K59" s="249"/>
      <c r="L59" s="249"/>
      <c r="M59" s="249"/>
      <c r="N59" s="251"/>
    </row>
    <row r="60" spans="1:14" ht="17.25" customHeight="1" x14ac:dyDescent="0.25">
      <c r="A60" s="25">
        <v>47</v>
      </c>
      <c r="B60" s="250" t="s">
        <v>317</v>
      </c>
      <c r="C60" s="249"/>
      <c r="D60" s="249"/>
      <c r="E60" s="249"/>
      <c r="F60" s="249"/>
      <c r="G60" s="249"/>
      <c r="H60" s="249"/>
      <c r="I60" s="249"/>
      <c r="J60" s="249"/>
      <c r="K60" s="249"/>
      <c r="L60" s="249"/>
      <c r="M60" s="249"/>
      <c r="N60" s="251"/>
    </row>
    <row r="61" spans="1:14" ht="17.25" customHeight="1" x14ac:dyDescent="0.25">
      <c r="A61" s="25">
        <v>48</v>
      </c>
      <c r="B61" s="253" t="s">
        <v>318</v>
      </c>
      <c r="C61" s="254"/>
      <c r="D61" s="254"/>
      <c r="E61" s="254"/>
      <c r="F61" s="254"/>
      <c r="G61" s="254"/>
      <c r="H61" s="254"/>
      <c r="I61" s="254"/>
      <c r="J61" s="254"/>
      <c r="K61" s="254"/>
      <c r="L61" s="254"/>
      <c r="M61" s="254"/>
      <c r="N61" s="255"/>
    </row>
    <row r="62" spans="1:14" ht="17.25" customHeight="1" x14ac:dyDescent="0.25">
      <c r="A62" s="25">
        <v>49</v>
      </c>
      <c r="B62" s="242" t="s">
        <v>319</v>
      </c>
      <c r="C62" s="243"/>
      <c r="D62" s="243"/>
      <c r="E62" s="243"/>
      <c r="F62" s="243"/>
      <c r="G62" s="243"/>
      <c r="H62" s="243"/>
      <c r="I62" s="243"/>
      <c r="J62" s="243"/>
      <c r="K62" s="243"/>
      <c r="L62" s="243"/>
      <c r="M62" s="243"/>
      <c r="N62" s="244"/>
    </row>
    <row r="63" spans="1:14" ht="17.25" customHeight="1" x14ac:dyDescent="0.25">
      <c r="A63" s="25">
        <v>50</v>
      </c>
      <c r="B63" s="250" t="s">
        <v>333</v>
      </c>
      <c r="C63" s="249"/>
      <c r="D63" s="249"/>
      <c r="E63" s="249"/>
      <c r="F63" s="249"/>
      <c r="G63" s="249"/>
      <c r="H63" s="249"/>
      <c r="I63" s="249"/>
      <c r="J63" s="249"/>
      <c r="K63" s="249"/>
      <c r="L63" s="249"/>
      <c r="M63" s="249"/>
      <c r="N63" s="251"/>
    </row>
    <row r="64" spans="1:14" ht="17.25" customHeight="1" x14ac:dyDescent="0.25">
      <c r="A64" s="25">
        <v>51</v>
      </c>
      <c r="B64" s="267" t="s">
        <v>335</v>
      </c>
      <c r="C64" s="260"/>
      <c r="D64" s="260"/>
      <c r="E64" s="260"/>
      <c r="F64" s="260"/>
      <c r="G64" s="260"/>
      <c r="H64" s="260"/>
      <c r="I64" s="260"/>
      <c r="J64" s="260"/>
      <c r="K64" s="260"/>
      <c r="L64" s="260"/>
      <c r="M64" s="260"/>
      <c r="N64" s="261"/>
    </row>
    <row r="65" spans="1:14" ht="17.25" customHeight="1" x14ac:dyDescent="0.25">
      <c r="A65" s="25">
        <v>52</v>
      </c>
      <c r="B65" s="250" t="s">
        <v>336</v>
      </c>
      <c r="C65" s="249"/>
      <c r="D65" s="249"/>
      <c r="E65" s="249"/>
      <c r="F65" s="249"/>
      <c r="G65" s="249"/>
      <c r="H65" s="249"/>
      <c r="I65" s="249"/>
      <c r="J65" s="249"/>
      <c r="K65" s="249"/>
      <c r="L65" s="249"/>
      <c r="M65" s="249"/>
      <c r="N65" s="251"/>
    </row>
    <row r="66" spans="1:14" ht="17.25" customHeight="1" x14ac:dyDescent="0.25">
      <c r="A66" s="25">
        <v>53</v>
      </c>
      <c r="B66" s="250" t="s">
        <v>337</v>
      </c>
      <c r="C66" s="249"/>
      <c r="D66" s="249"/>
      <c r="E66" s="249"/>
      <c r="F66" s="249"/>
      <c r="G66" s="249"/>
      <c r="H66" s="249"/>
      <c r="I66" s="249"/>
      <c r="J66" s="249"/>
      <c r="K66" s="249"/>
      <c r="L66" s="249"/>
      <c r="M66" s="249"/>
      <c r="N66" s="251"/>
    </row>
    <row r="67" spans="1:14" ht="27.75" customHeight="1" x14ac:dyDescent="0.25">
      <c r="A67" s="25">
        <v>54</v>
      </c>
      <c r="B67" s="250" t="s">
        <v>366</v>
      </c>
      <c r="C67" s="249"/>
      <c r="D67" s="249"/>
      <c r="E67" s="249"/>
      <c r="F67" s="249"/>
      <c r="G67" s="249"/>
      <c r="H67" s="249"/>
      <c r="I67" s="249"/>
      <c r="J67" s="249"/>
      <c r="K67" s="249"/>
      <c r="L67" s="249"/>
      <c r="M67" s="249"/>
      <c r="N67" s="251"/>
    </row>
    <row r="68" spans="1:14" ht="17.25" customHeight="1" x14ac:dyDescent="0.25">
      <c r="A68" s="25">
        <v>55</v>
      </c>
      <c r="B68" s="250" t="s">
        <v>367</v>
      </c>
      <c r="C68" s="249"/>
      <c r="D68" s="249"/>
      <c r="E68" s="249"/>
      <c r="F68" s="249"/>
      <c r="G68" s="249"/>
      <c r="H68" s="249"/>
      <c r="I68" s="249"/>
      <c r="J68" s="249"/>
      <c r="K68" s="249"/>
      <c r="L68" s="249"/>
      <c r="M68" s="249"/>
      <c r="N68" s="251"/>
    </row>
    <row r="69" spans="1:14" ht="17.25" customHeight="1" x14ac:dyDescent="0.25">
      <c r="A69" s="25">
        <v>56</v>
      </c>
      <c r="B69" s="250" t="s">
        <v>368</v>
      </c>
      <c r="C69" s="249"/>
      <c r="D69" s="249"/>
      <c r="E69" s="249"/>
      <c r="F69" s="249"/>
      <c r="G69" s="249"/>
      <c r="H69" s="249"/>
      <c r="I69" s="249"/>
      <c r="J69" s="249"/>
      <c r="K69" s="249"/>
      <c r="L69" s="249"/>
      <c r="M69" s="249"/>
      <c r="N69" s="251"/>
    </row>
    <row r="70" spans="1:14" ht="17.25" customHeight="1" x14ac:dyDescent="0.25">
      <c r="A70" s="25">
        <v>57</v>
      </c>
      <c r="B70" s="250" t="s">
        <v>371</v>
      </c>
      <c r="C70" s="249"/>
      <c r="D70" s="249"/>
      <c r="E70" s="249"/>
      <c r="F70" s="249"/>
      <c r="G70" s="249"/>
      <c r="H70" s="249"/>
      <c r="I70" s="249"/>
      <c r="J70" s="249"/>
      <c r="K70" s="249"/>
      <c r="L70" s="249"/>
      <c r="M70" s="249"/>
      <c r="N70" s="251"/>
    </row>
    <row r="71" spans="1:14" ht="17.25" customHeight="1" x14ac:dyDescent="0.25">
      <c r="A71" s="25">
        <v>58</v>
      </c>
      <c r="B71" s="250" t="s">
        <v>376</v>
      </c>
      <c r="C71" s="249"/>
      <c r="D71" s="249"/>
      <c r="E71" s="249"/>
      <c r="F71" s="249"/>
      <c r="G71" s="249"/>
      <c r="H71" s="249"/>
      <c r="I71" s="249"/>
      <c r="J71" s="249"/>
      <c r="K71" s="249"/>
      <c r="L71" s="249"/>
      <c r="M71" s="249"/>
      <c r="N71" s="251"/>
    </row>
    <row r="72" spans="1:14" ht="17.25" customHeight="1" x14ac:dyDescent="0.25">
      <c r="A72" s="25">
        <v>59</v>
      </c>
      <c r="B72" s="250" t="s">
        <v>378</v>
      </c>
      <c r="C72" s="249"/>
      <c r="D72" s="249"/>
      <c r="E72" s="249"/>
      <c r="F72" s="249"/>
      <c r="G72" s="249"/>
      <c r="H72" s="249"/>
      <c r="I72" s="249"/>
      <c r="J72" s="249"/>
      <c r="K72" s="249"/>
      <c r="L72" s="249"/>
      <c r="M72" s="249"/>
      <c r="N72" s="251"/>
    </row>
    <row r="73" spans="1:14" ht="17.25" customHeight="1" x14ac:dyDescent="0.25">
      <c r="A73" s="25">
        <v>60</v>
      </c>
      <c r="B73" s="250" t="s">
        <v>377</v>
      </c>
      <c r="C73" s="249"/>
      <c r="D73" s="249"/>
      <c r="E73" s="249"/>
      <c r="F73" s="249"/>
      <c r="G73" s="249"/>
      <c r="H73" s="249"/>
      <c r="I73" s="249"/>
      <c r="J73" s="249"/>
      <c r="K73" s="249"/>
      <c r="L73" s="249"/>
      <c r="M73" s="249"/>
      <c r="N73" s="251"/>
    </row>
    <row r="74" spans="1:14" ht="17.25" customHeight="1" x14ac:dyDescent="0.25">
      <c r="A74" s="25">
        <v>61</v>
      </c>
      <c r="B74" s="245" t="s">
        <v>379</v>
      </c>
      <c r="C74" s="246"/>
      <c r="D74" s="246"/>
      <c r="E74" s="246"/>
      <c r="F74" s="246"/>
      <c r="G74" s="246"/>
      <c r="H74" s="246"/>
      <c r="I74" s="246"/>
      <c r="J74" s="246"/>
      <c r="K74" s="246"/>
      <c r="L74" s="246"/>
      <c r="M74" s="246"/>
      <c r="N74" s="247"/>
    </row>
    <row r="75" spans="1:14" ht="17.25" customHeight="1" x14ac:dyDescent="0.25">
      <c r="A75" s="25">
        <v>62</v>
      </c>
      <c r="B75" s="248" t="s">
        <v>381</v>
      </c>
      <c r="C75" s="248"/>
      <c r="D75" s="248"/>
      <c r="E75" s="248"/>
      <c r="F75" s="248"/>
      <c r="G75" s="248"/>
      <c r="H75" s="248"/>
      <c r="I75" s="248"/>
      <c r="J75" s="248"/>
      <c r="K75" s="248"/>
      <c r="L75" s="248"/>
      <c r="M75" s="248"/>
      <c r="N75" s="248"/>
    </row>
    <row r="76" spans="1:14" ht="9" customHeight="1" x14ac:dyDescent="0.25">
      <c r="A76" s="25"/>
      <c r="B76" s="218"/>
      <c r="C76" s="218"/>
      <c r="D76" s="218"/>
      <c r="E76" s="218"/>
      <c r="F76" s="218"/>
      <c r="G76" s="218"/>
      <c r="H76" s="218"/>
      <c r="I76" s="218"/>
      <c r="J76" s="218"/>
      <c r="K76" s="218"/>
      <c r="L76" s="218"/>
      <c r="M76" s="218"/>
      <c r="N76" s="218"/>
    </row>
    <row r="77" spans="1:14" ht="17.25" customHeight="1" x14ac:dyDescent="0.25">
      <c r="A77" s="25">
        <v>63</v>
      </c>
      <c r="B77" s="241" t="s">
        <v>383</v>
      </c>
      <c r="C77" s="241"/>
      <c r="D77" s="241"/>
      <c r="E77" s="241"/>
      <c r="F77" s="241"/>
      <c r="G77" s="241"/>
      <c r="H77" s="241"/>
      <c r="I77" s="241"/>
      <c r="J77" s="241"/>
      <c r="K77" s="241"/>
      <c r="L77" s="241"/>
      <c r="M77" s="241"/>
      <c r="N77" s="241"/>
    </row>
    <row r="78" spans="1:14" ht="32.25" customHeight="1" x14ac:dyDescent="0.25">
      <c r="A78" s="25">
        <v>64</v>
      </c>
      <c r="B78" s="249" t="s">
        <v>403</v>
      </c>
      <c r="C78" s="249"/>
      <c r="D78" s="249"/>
      <c r="E78" s="249"/>
      <c r="F78" s="249"/>
      <c r="G78" s="249"/>
      <c r="H78" s="249"/>
      <c r="I78" s="249"/>
      <c r="J78" s="249"/>
      <c r="K78" s="249"/>
      <c r="L78" s="249"/>
      <c r="M78" s="249"/>
      <c r="N78" s="249"/>
    </row>
    <row r="79" spans="1:14" ht="59.25" customHeight="1" x14ac:dyDescent="0.25">
      <c r="A79" s="25">
        <v>65</v>
      </c>
      <c r="B79" s="249" t="s">
        <v>404</v>
      </c>
      <c r="C79" s="241"/>
      <c r="D79" s="241"/>
      <c r="E79" s="241"/>
      <c r="F79" s="241"/>
      <c r="G79" s="241"/>
      <c r="H79" s="241"/>
      <c r="I79" s="241"/>
      <c r="J79" s="241"/>
      <c r="K79" s="241"/>
      <c r="L79" s="241"/>
      <c r="M79" s="241"/>
      <c r="N79" s="241"/>
    </row>
    <row r="80" spans="1:14" ht="57.75" customHeight="1" x14ac:dyDescent="0.25">
      <c r="A80" s="25">
        <v>66</v>
      </c>
      <c r="B80" s="249" t="s">
        <v>405</v>
      </c>
      <c r="C80" s="241"/>
      <c r="D80" s="241"/>
      <c r="E80" s="241"/>
      <c r="F80" s="241"/>
      <c r="G80" s="241"/>
      <c r="H80" s="241"/>
      <c r="I80" s="241"/>
      <c r="J80" s="241"/>
      <c r="K80" s="241"/>
      <c r="L80" s="241"/>
      <c r="M80" s="241"/>
      <c r="N80" s="241"/>
    </row>
    <row r="81" spans="1:15" ht="17.25" customHeight="1" x14ac:dyDescent="0.25">
      <c r="A81" s="25">
        <v>67</v>
      </c>
      <c r="B81" s="241"/>
      <c r="C81" s="241"/>
      <c r="D81" s="241"/>
      <c r="E81" s="241"/>
      <c r="F81" s="241"/>
      <c r="G81" s="241"/>
      <c r="H81" s="241"/>
      <c r="I81" s="241"/>
      <c r="J81" s="241"/>
      <c r="K81" s="241"/>
      <c r="L81" s="241"/>
      <c r="M81" s="241"/>
      <c r="N81" s="241"/>
    </row>
    <row r="82" spans="1:15" ht="17.25" customHeight="1" x14ac:dyDescent="0.25">
      <c r="A82" s="25">
        <v>68</v>
      </c>
      <c r="B82" s="241"/>
      <c r="C82" s="241"/>
      <c r="D82" s="241"/>
      <c r="E82" s="241"/>
      <c r="F82" s="241"/>
      <c r="G82" s="241"/>
      <c r="H82" s="241"/>
      <c r="I82" s="241"/>
      <c r="J82" s="241"/>
      <c r="K82" s="241"/>
      <c r="L82" s="241"/>
      <c r="M82" s="241"/>
      <c r="N82" s="241"/>
    </row>
    <row r="83" spans="1:15" ht="17.25" customHeight="1" thickBot="1" x14ac:dyDescent="0.3">
      <c r="A83" s="25">
        <v>69</v>
      </c>
      <c r="B83" s="241"/>
      <c r="C83" s="241"/>
      <c r="D83" s="241"/>
      <c r="E83" s="241"/>
      <c r="F83" s="241"/>
      <c r="G83" s="241"/>
      <c r="H83" s="241"/>
      <c r="I83" s="241"/>
      <c r="J83" s="241"/>
      <c r="K83" s="241"/>
      <c r="L83" s="241"/>
      <c r="M83" s="241"/>
      <c r="N83" s="241"/>
    </row>
    <row r="84" spans="1:15" ht="17.25" customHeight="1" x14ac:dyDescent="0.25">
      <c r="A84" s="25">
        <v>70</v>
      </c>
      <c r="B84" s="241"/>
      <c r="C84" s="241"/>
      <c r="D84" s="241"/>
      <c r="E84" s="241"/>
      <c r="F84" s="241"/>
      <c r="G84" s="241"/>
      <c r="H84" s="241"/>
      <c r="I84" s="241"/>
      <c r="J84" s="241"/>
      <c r="K84" s="241"/>
      <c r="L84" s="241"/>
      <c r="M84" s="241"/>
      <c r="N84" s="241"/>
      <c r="O84" s="27"/>
    </row>
    <row r="85" spans="1:15" ht="17.25" customHeight="1" x14ac:dyDescent="0.25">
      <c r="A85" s="25">
        <v>71</v>
      </c>
      <c r="B85" s="241"/>
      <c r="C85" s="241"/>
      <c r="D85" s="241"/>
      <c r="E85" s="241"/>
      <c r="F85" s="241"/>
      <c r="G85" s="241"/>
      <c r="H85" s="241"/>
      <c r="I85" s="241"/>
      <c r="J85" s="241"/>
      <c r="K85" s="241"/>
      <c r="L85" s="241"/>
      <c r="M85" s="241"/>
      <c r="N85" s="241"/>
    </row>
    <row r="86" spans="1:15" ht="17.25" customHeight="1" x14ac:dyDescent="0.25">
      <c r="A86" s="25">
        <v>72</v>
      </c>
      <c r="B86" s="241"/>
      <c r="C86" s="241"/>
      <c r="D86" s="241"/>
      <c r="E86" s="241"/>
      <c r="F86" s="241"/>
      <c r="G86" s="241"/>
      <c r="H86" s="241"/>
      <c r="I86" s="241"/>
      <c r="J86" s="241"/>
      <c r="K86" s="241"/>
      <c r="L86" s="241"/>
      <c r="M86" s="241"/>
      <c r="N86" s="241"/>
    </row>
    <row r="87" spans="1:15" ht="17.25" customHeight="1" x14ac:dyDescent="0.25">
      <c r="A87" s="25">
        <v>73</v>
      </c>
      <c r="B87" s="241"/>
      <c r="C87" s="241"/>
      <c r="D87" s="241"/>
      <c r="E87" s="241"/>
      <c r="F87" s="241"/>
      <c r="G87" s="241"/>
      <c r="H87" s="241"/>
      <c r="I87" s="241"/>
      <c r="J87" s="241"/>
      <c r="K87" s="241"/>
      <c r="L87" s="241"/>
      <c r="M87" s="241"/>
      <c r="N87" s="241"/>
    </row>
    <row r="88" spans="1:15" ht="17.25" customHeight="1" x14ac:dyDescent="0.25">
      <c r="A88" s="25">
        <v>74</v>
      </c>
      <c r="B88" s="241"/>
      <c r="C88" s="241"/>
      <c r="D88" s="241"/>
      <c r="E88" s="241"/>
      <c r="F88" s="241"/>
      <c r="G88" s="241"/>
      <c r="H88" s="241"/>
      <c r="I88" s="241"/>
      <c r="J88" s="241"/>
      <c r="K88" s="241"/>
      <c r="L88" s="241"/>
      <c r="M88" s="241"/>
      <c r="N88" s="241"/>
    </row>
    <row r="89" spans="1:15" ht="17.25" customHeight="1" x14ac:dyDescent="0.25">
      <c r="A89" s="25">
        <v>75</v>
      </c>
      <c r="B89" s="241"/>
      <c r="C89" s="241"/>
      <c r="D89" s="241"/>
      <c r="E89" s="241"/>
      <c r="F89" s="241"/>
      <c r="G89" s="241"/>
      <c r="H89" s="241"/>
      <c r="I89" s="241"/>
      <c r="J89" s="241"/>
      <c r="K89" s="241"/>
      <c r="L89" s="241"/>
      <c r="M89" s="241"/>
      <c r="N89" s="241"/>
    </row>
    <row r="90" spans="1:15" ht="17.25" customHeight="1" x14ac:dyDescent="0.25">
      <c r="A90" s="25">
        <v>76</v>
      </c>
      <c r="B90" s="241"/>
      <c r="C90" s="241"/>
      <c r="D90" s="241"/>
      <c r="E90" s="241"/>
      <c r="F90" s="241"/>
      <c r="G90" s="241"/>
      <c r="H90" s="241"/>
      <c r="I90" s="241"/>
      <c r="J90" s="241"/>
      <c r="K90" s="241"/>
      <c r="L90" s="241"/>
      <c r="M90" s="241"/>
      <c r="N90" s="241"/>
    </row>
    <row r="91" spans="1:15" ht="17.25" customHeight="1" x14ac:dyDescent="0.25">
      <c r="A91" s="25">
        <v>77</v>
      </c>
      <c r="B91" s="241"/>
      <c r="C91" s="241"/>
      <c r="D91" s="241"/>
      <c r="E91" s="241"/>
      <c r="F91" s="241"/>
      <c r="G91" s="241"/>
      <c r="H91" s="241"/>
      <c r="I91" s="241"/>
      <c r="J91" s="241"/>
      <c r="K91" s="241"/>
      <c r="L91" s="241"/>
      <c r="M91" s="241"/>
      <c r="N91" s="241"/>
    </row>
    <row r="92" spans="1:15" ht="17.25" customHeight="1" x14ac:dyDescent="0.25">
      <c r="A92" s="25">
        <v>78</v>
      </c>
      <c r="B92" s="241"/>
      <c r="C92" s="241"/>
      <c r="D92" s="241"/>
      <c r="E92" s="241"/>
      <c r="F92" s="241"/>
      <c r="G92" s="241"/>
      <c r="H92" s="241"/>
      <c r="I92" s="241"/>
      <c r="J92" s="241"/>
      <c r="K92" s="241"/>
      <c r="L92" s="241"/>
      <c r="M92" s="241"/>
      <c r="N92" s="241"/>
    </row>
    <row r="93" spans="1:15" ht="17.25" customHeight="1" x14ac:dyDescent="0.25">
      <c r="A93" s="25">
        <v>79</v>
      </c>
      <c r="B93" s="241"/>
      <c r="C93" s="241"/>
      <c r="D93" s="241"/>
      <c r="E93" s="241"/>
      <c r="F93" s="241"/>
      <c r="G93" s="241"/>
      <c r="H93" s="241"/>
      <c r="I93" s="241"/>
      <c r="J93" s="241"/>
      <c r="K93" s="241"/>
      <c r="L93" s="241"/>
      <c r="M93" s="241"/>
      <c r="N93" s="241"/>
    </row>
    <row r="94" spans="1:15" ht="17.25" customHeight="1" x14ac:dyDescent="0.25">
      <c r="A94" s="25">
        <v>80</v>
      </c>
      <c r="B94" s="241"/>
      <c r="C94" s="241"/>
      <c r="D94" s="241"/>
      <c r="E94" s="241"/>
      <c r="F94" s="241"/>
      <c r="G94" s="241"/>
      <c r="H94" s="241"/>
      <c r="I94" s="241"/>
      <c r="J94" s="241"/>
      <c r="K94" s="241"/>
      <c r="L94" s="241"/>
      <c r="M94" s="241"/>
      <c r="N94" s="241"/>
    </row>
    <row r="95" spans="1:15" ht="17.25" customHeight="1" x14ac:dyDescent="0.25">
      <c r="A95" s="25">
        <v>81</v>
      </c>
      <c r="B95" s="241"/>
      <c r="C95" s="241"/>
      <c r="D95" s="241"/>
      <c r="E95" s="241"/>
      <c r="F95" s="241"/>
      <c r="G95" s="241"/>
      <c r="H95" s="241"/>
      <c r="I95" s="241"/>
      <c r="J95" s="241"/>
      <c r="K95" s="241"/>
      <c r="L95" s="241"/>
      <c r="M95" s="241"/>
      <c r="N95" s="241"/>
    </row>
    <row r="96" spans="1:15" ht="17.25" customHeight="1" x14ac:dyDescent="0.25">
      <c r="A96" s="25">
        <v>82</v>
      </c>
      <c r="B96" s="241"/>
      <c r="C96" s="241"/>
      <c r="D96" s="241"/>
      <c r="E96" s="241"/>
      <c r="F96" s="241"/>
      <c r="G96" s="241"/>
      <c r="H96" s="241"/>
      <c r="I96" s="241"/>
      <c r="J96" s="241"/>
      <c r="K96" s="241"/>
      <c r="L96" s="241"/>
      <c r="M96" s="241"/>
      <c r="N96" s="241"/>
    </row>
    <row r="97" spans="1:14" ht="17.25" customHeight="1" x14ac:dyDescent="0.25">
      <c r="A97" s="25">
        <v>83</v>
      </c>
      <c r="B97" s="241"/>
      <c r="C97" s="241"/>
      <c r="D97" s="241"/>
      <c r="E97" s="241"/>
      <c r="F97" s="241"/>
      <c r="G97" s="241"/>
      <c r="H97" s="241"/>
      <c r="I97" s="241"/>
      <c r="J97" s="241"/>
      <c r="K97" s="241"/>
      <c r="L97" s="241"/>
      <c r="M97" s="241"/>
      <c r="N97" s="241"/>
    </row>
    <row r="98" spans="1:14" ht="17.25" customHeight="1" x14ac:dyDescent="0.25">
      <c r="A98" s="25">
        <v>84</v>
      </c>
      <c r="B98" s="241"/>
      <c r="C98" s="241"/>
      <c r="D98" s="241"/>
      <c r="E98" s="241"/>
      <c r="F98" s="241"/>
      <c r="G98" s="241"/>
      <c r="H98" s="241"/>
      <c r="I98" s="241"/>
      <c r="J98" s="241"/>
      <c r="K98" s="241"/>
      <c r="L98" s="241"/>
      <c r="M98" s="241"/>
      <c r="N98" s="241"/>
    </row>
    <row r="99" spans="1:14" ht="17.25" customHeight="1" x14ac:dyDescent="0.25">
      <c r="A99" s="25">
        <v>85</v>
      </c>
      <c r="B99" s="241"/>
      <c r="C99" s="241"/>
      <c r="D99" s="241"/>
      <c r="E99" s="241"/>
      <c r="F99" s="241"/>
      <c r="G99" s="241"/>
      <c r="H99" s="241"/>
      <c r="I99" s="241"/>
      <c r="J99" s="241"/>
      <c r="K99" s="241"/>
      <c r="L99" s="241"/>
      <c r="M99" s="241"/>
      <c r="N99" s="241"/>
    </row>
    <row r="100" spans="1:14" ht="17.25" customHeight="1" x14ac:dyDescent="0.25">
      <c r="A100" s="25">
        <v>86</v>
      </c>
      <c r="B100" s="241"/>
      <c r="C100" s="241"/>
      <c r="D100" s="241"/>
      <c r="E100" s="241"/>
      <c r="F100" s="241"/>
      <c r="G100" s="241"/>
      <c r="H100" s="241"/>
      <c r="I100" s="241"/>
      <c r="J100" s="241"/>
      <c r="K100" s="241"/>
      <c r="L100" s="241"/>
      <c r="M100" s="241"/>
      <c r="N100" s="241"/>
    </row>
    <row r="101" spans="1:14" ht="17.25" customHeight="1" x14ac:dyDescent="0.25">
      <c r="A101" s="25">
        <v>87</v>
      </c>
      <c r="B101" s="241"/>
      <c r="C101" s="241"/>
      <c r="D101" s="241"/>
      <c r="E101" s="241"/>
      <c r="F101" s="241"/>
      <c r="G101" s="241"/>
      <c r="H101" s="241"/>
      <c r="I101" s="241"/>
      <c r="J101" s="241"/>
      <c r="K101" s="241"/>
      <c r="L101" s="241"/>
      <c r="M101" s="241"/>
      <c r="N101" s="241"/>
    </row>
    <row r="102" spans="1:14" ht="17.25" customHeight="1" x14ac:dyDescent="0.25">
      <c r="A102" s="25">
        <v>88</v>
      </c>
      <c r="B102" s="241"/>
      <c r="C102" s="241"/>
      <c r="D102" s="241"/>
      <c r="E102" s="241"/>
      <c r="F102" s="241"/>
      <c r="G102" s="241"/>
      <c r="H102" s="241"/>
      <c r="I102" s="241"/>
      <c r="J102" s="241"/>
      <c r="K102" s="241"/>
      <c r="L102" s="241"/>
      <c r="M102" s="241"/>
      <c r="N102" s="241"/>
    </row>
    <row r="103" spans="1:14" ht="17.25" customHeight="1" x14ac:dyDescent="0.25">
      <c r="A103" s="25">
        <v>89</v>
      </c>
      <c r="B103" s="241"/>
      <c r="C103" s="241"/>
      <c r="D103" s="241"/>
      <c r="E103" s="241"/>
      <c r="F103" s="241"/>
      <c r="G103" s="241"/>
      <c r="H103" s="241"/>
      <c r="I103" s="241"/>
      <c r="J103" s="241"/>
      <c r="K103" s="241"/>
      <c r="L103" s="241"/>
      <c r="M103" s="241"/>
      <c r="N103" s="241"/>
    </row>
    <row r="104" spans="1:14" ht="17.25" customHeight="1" x14ac:dyDescent="0.25">
      <c r="A104" s="25">
        <v>90</v>
      </c>
      <c r="B104" s="241"/>
      <c r="C104" s="241"/>
      <c r="D104" s="241"/>
      <c r="E104" s="241"/>
      <c r="F104" s="241"/>
      <c r="G104" s="241"/>
      <c r="H104" s="241"/>
      <c r="I104" s="241"/>
      <c r="J104" s="241"/>
      <c r="K104" s="241"/>
      <c r="L104" s="241"/>
      <c r="M104" s="241"/>
      <c r="N104" s="241"/>
    </row>
    <row r="105" spans="1:14" ht="17.25" customHeight="1" x14ac:dyDescent="0.25">
      <c r="A105" s="25">
        <v>91</v>
      </c>
      <c r="B105" s="241"/>
      <c r="C105" s="241"/>
      <c r="D105" s="241"/>
      <c r="E105" s="241"/>
      <c r="F105" s="241"/>
      <c r="G105" s="241"/>
      <c r="H105" s="241"/>
      <c r="I105" s="241"/>
      <c r="J105" s="241"/>
      <c r="K105" s="241"/>
      <c r="L105" s="241"/>
      <c r="M105" s="241"/>
      <c r="N105" s="241"/>
    </row>
    <row r="106" spans="1:14" ht="17.25" customHeight="1" x14ac:dyDescent="0.25">
      <c r="A106" s="25">
        <v>92</v>
      </c>
      <c r="B106" s="241"/>
      <c r="C106" s="241"/>
      <c r="D106" s="241"/>
      <c r="E106" s="241"/>
      <c r="F106" s="241"/>
      <c r="G106" s="241"/>
      <c r="H106" s="241"/>
      <c r="I106" s="241"/>
      <c r="J106" s="241"/>
      <c r="K106" s="241"/>
      <c r="L106" s="241"/>
      <c r="M106" s="241"/>
      <c r="N106" s="241"/>
    </row>
    <row r="107" spans="1:14" ht="17.25" customHeight="1" x14ac:dyDescent="0.25">
      <c r="A107" s="25">
        <v>93</v>
      </c>
      <c r="B107" s="241"/>
      <c r="C107" s="241"/>
      <c r="D107" s="241"/>
      <c r="E107" s="241"/>
      <c r="F107" s="241"/>
      <c r="G107" s="241"/>
      <c r="H107" s="241"/>
      <c r="I107" s="241"/>
      <c r="J107" s="241"/>
      <c r="K107" s="241"/>
      <c r="L107" s="241"/>
      <c r="M107" s="241"/>
      <c r="N107" s="241"/>
    </row>
    <row r="108" spans="1:14" ht="17.25" customHeight="1" x14ac:dyDescent="0.25">
      <c r="A108" s="25">
        <v>94</v>
      </c>
      <c r="B108" s="241"/>
      <c r="C108" s="241"/>
      <c r="D108" s="241"/>
      <c r="E108" s="241"/>
      <c r="F108" s="241"/>
      <c r="G108" s="241"/>
      <c r="H108" s="241"/>
      <c r="I108" s="241"/>
      <c r="J108" s="241"/>
      <c r="K108" s="241"/>
      <c r="L108" s="241"/>
      <c r="M108" s="241"/>
      <c r="N108" s="241"/>
    </row>
    <row r="109" spans="1:14" ht="17.25" customHeight="1" x14ac:dyDescent="0.25">
      <c r="B109" s="241"/>
      <c r="C109" s="241"/>
      <c r="D109" s="241"/>
      <c r="E109" s="241"/>
      <c r="F109" s="241"/>
      <c r="G109" s="241"/>
      <c r="H109" s="241"/>
      <c r="I109" s="241"/>
      <c r="J109" s="241"/>
      <c r="K109" s="241"/>
      <c r="L109" s="241"/>
      <c r="M109" s="241"/>
      <c r="N109" s="241"/>
    </row>
    <row r="110" spans="1:14" ht="17.25" customHeight="1" x14ac:dyDescent="0.25">
      <c r="B110" s="241"/>
      <c r="C110" s="241"/>
      <c r="D110" s="241"/>
      <c r="E110" s="241"/>
      <c r="F110" s="241"/>
      <c r="G110" s="241"/>
      <c r="H110" s="241"/>
      <c r="I110" s="241"/>
      <c r="J110" s="241"/>
      <c r="K110" s="241"/>
      <c r="L110" s="241"/>
      <c r="M110" s="241"/>
      <c r="N110" s="241"/>
    </row>
    <row r="111" spans="1:14" ht="17.25" customHeight="1" x14ac:dyDescent="0.25">
      <c r="B111" s="241"/>
      <c r="C111" s="241"/>
      <c r="D111" s="241"/>
      <c r="E111" s="241"/>
      <c r="F111" s="241"/>
      <c r="G111" s="241"/>
      <c r="H111" s="241"/>
      <c r="I111" s="241"/>
      <c r="J111" s="241"/>
      <c r="K111" s="241"/>
      <c r="L111" s="241"/>
      <c r="M111" s="241"/>
      <c r="N111" s="241"/>
    </row>
    <row r="112" spans="1:14" ht="17.25" customHeight="1" x14ac:dyDescent="0.25">
      <c r="B112" s="241"/>
      <c r="C112" s="241"/>
      <c r="D112" s="241"/>
      <c r="E112" s="241"/>
      <c r="F112" s="241"/>
      <c r="G112" s="241"/>
      <c r="H112" s="241"/>
      <c r="I112" s="241"/>
      <c r="J112" s="241"/>
      <c r="K112" s="241"/>
      <c r="L112" s="241"/>
      <c r="M112" s="241"/>
      <c r="N112" s="241"/>
    </row>
    <row r="113" spans="2:14" ht="17.25" customHeight="1" x14ac:dyDescent="0.25">
      <c r="B113" s="241"/>
      <c r="C113" s="241"/>
      <c r="D113" s="241"/>
      <c r="E113" s="241"/>
      <c r="F113" s="241"/>
      <c r="G113" s="241"/>
      <c r="H113" s="241"/>
      <c r="I113" s="241"/>
      <c r="J113" s="241"/>
      <c r="K113" s="241"/>
      <c r="L113" s="241"/>
      <c r="M113" s="241"/>
      <c r="N113" s="241"/>
    </row>
    <row r="114" spans="2:14" ht="17.25" customHeight="1" x14ac:dyDescent="0.25">
      <c r="B114" s="241"/>
      <c r="C114" s="241"/>
      <c r="D114" s="241"/>
      <c r="E114" s="241"/>
      <c r="F114" s="241"/>
      <c r="G114" s="241"/>
      <c r="H114" s="241"/>
      <c r="I114" s="241"/>
      <c r="J114" s="241"/>
      <c r="K114" s="241"/>
      <c r="L114" s="241"/>
      <c r="M114" s="241"/>
      <c r="N114" s="241"/>
    </row>
    <row r="115" spans="2:14" ht="17.25" customHeight="1" x14ac:dyDescent="0.25">
      <c r="B115" s="241"/>
      <c r="C115" s="241"/>
      <c r="D115" s="241"/>
      <c r="E115" s="241"/>
      <c r="F115" s="241"/>
      <c r="G115" s="241"/>
      <c r="H115" s="241"/>
      <c r="I115" s="241"/>
      <c r="J115" s="241"/>
      <c r="K115" s="241"/>
      <c r="L115" s="241"/>
      <c r="M115" s="241"/>
      <c r="N115" s="241"/>
    </row>
    <row r="116" spans="2:14" ht="17.25" customHeight="1" x14ac:dyDescent="0.25">
      <c r="B116" s="241"/>
      <c r="C116" s="241"/>
      <c r="D116" s="241"/>
      <c r="E116" s="241"/>
      <c r="F116" s="241"/>
      <c r="G116" s="241"/>
      <c r="H116" s="241"/>
      <c r="I116" s="241"/>
      <c r="J116" s="241"/>
      <c r="K116" s="241"/>
      <c r="L116" s="241"/>
      <c r="M116" s="241"/>
      <c r="N116" s="241"/>
    </row>
    <row r="117" spans="2:14" ht="17.25" customHeight="1" x14ac:dyDescent="0.25">
      <c r="B117" s="241"/>
      <c r="C117" s="241"/>
      <c r="D117" s="241"/>
      <c r="E117" s="241"/>
      <c r="F117" s="241"/>
      <c r="G117" s="241"/>
      <c r="H117" s="241"/>
      <c r="I117" s="241"/>
      <c r="J117" s="241"/>
      <c r="K117" s="241"/>
      <c r="L117" s="241"/>
      <c r="M117" s="241"/>
      <c r="N117" s="241"/>
    </row>
    <row r="118" spans="2:14" ht="17.25" customHeight="1" x14ac:dyDescent="0.25">
      <c r="B118" s="241"/>
      <c r="C118" s="241"/>
      <c r="D118" s="241"/>
      <c r="E118" s="241"/>
      <c r="F118" s="241"/>
      <c r="G118" s="241"/>
      <c r="H118" s="241"/>
      <c r="I118" s="241"/>
      <c r="J118" s="241"/>
      <c r="K118" s="241"/>
      <c r="L118" s="241"/>
      <c r="M118" s="241"/>
      <c r="N118" s="241"/>
    </row>
    <row r="119" spans="2:14" ht="17.25" customHeight="1" x14ac:dyDescent="0.25">
      <c r="B119" s="241"/>
      <c r="C119" s="241"/>
      <c r="D119" s="241"/>
      <c r="E119" s="241"/>
      <c r="F119" s="241"/>
      <c r="G119" s="241"/>
      <c r="H119" s="241"/>
      <c r="I119" s="241"/>
      <c r="J119" s="241"/>
      <c r="K119" s="241"/>
      <c r="L119" s="241"/>
      <c r="M119" s="241"/>
      <c r="N119" s="241"/>
    </row>
    <row r="120" spans="2:14" ht="17.25" customHeight="1" x14ac:dyDescent="0.25">
      <c r="B120" s="241"/>
      <c r="C120" s="241"/>
      <c r="D120" s="241"/>
      <c r="E120" s="241"/>
      <c r="F120" s="241"/>
      <c r="G120" s="241"/>
      <c r="H120" s="241"/>
      <c r="I120" s="241"/>
      <c r="J120" s="241"/>
      <c r="K120" s="241"/>
      <c r="L120" s="241"/>
      <c r="M120" s="241"/>
      <c r="N120" s="241"/>
    </row>
    <row r="121" spans="2:14" ht="17.25" customHeight="1" x14ac:dyDescent="0.25">
      <c r="B121" s="241"/>
      <c r="C121" s="241"/>
      <c r="D121" s="241"/>
      <c r="E121" s="241"/>
      <c r="F121" s="241"/>
      <c r="G121" s="241"/>
      <c r="H121" s="241"/>
      <c r="I121" s="241"/>
      <c r="J121" s="241"/>
      <c r="K121" s="241"/>
      <c r="L121" s="241"/>
      <c r="M121" s="241"/>
      <c r="N121" s="241"/>
    </row>
    <row r="122" spans="2:14" ht="17.25" customHeight="1" x14ac:dyDescent="0.25">
      <c r="B122" s="241"/>
      <c r="C122" s="241"/>
      <c r="D122" s="241"/>
      <c r="E122" s="241"/>
      <c r="F122" s="241"/>
      <c r="G122" s="241"/>
      <c r="H122" s="241"/>
      <c r="I122" s="241"/>
      <c r="J122" s="241"/>
      <c r="K122" s="241"/>
      <c r="L122" s="241"/>
      <c r="M122" s="241"/>
      <c r="N122" s="241"/>
    </row>
    <row r="123" spans="2:14" ht="17.25" customHeight="1" x14ac:dyDescent="0.25">
      <c r="B123" s="241"/>
      <c r="C123" s="241"/>
      <c r="D123" s="241"/>
      <c r="E123" s="241"/>
      <c r="F123" s="241"/>
      <c r="G123" s="241"/>
      <c r="H123" s="241"/>
      <c r="I123" s="241"/>
      <c r="J123" s="241"/>
      <c r="K123" s="241"/>
      <c r="L123" s="241"/>
      <c r="M123" s="241"/>
      <c r="N123" s="241"/>
    </row>
    <row r="124" spans="2:14" ht="17.25" customHeight="1" x14ac:dyDescent="0.25">
      <c r="B124" s="241"/>
      <c r="C124" s="241"/>
      <c r="D124" s="241"/>
      <c r="E124" s="241"/>
      <c r="F124" s="241"/>
      <c r="G124" s="241"/>
      <c r="H124" s="241"/>
      <c r="I124" s="241"/>
      <c r="J124" s="241"/>
      <c r="K124" s="241"/>
      <c r="L124" s="241"/>
      <c r="M124" s="241"/>
      <c r="N124" s="241"/>
    </row>
    <row r="125" spans="2:14" ht="17.25" customHeight="1" x14ac:dyDescent="0.25">
      <c r="B125" s="241"/>
      <c r="C125" s="241"/>
      <c r="D125" s="241"/>
      <c r="E125" s="241"/>
      <c r="F125" s="241"/>
      <c r="G125" s="241"/>
      <c r="H125" s="241"/>
      <c r="I125" s="241"/>
      <c r="J125" s="241"/>
      <c r="K125" s="241"/>
      <c r="L125" s="241"/>
      <c r="M125" s="241"/>
      <c r="N125" s="241"/>
    </row>
    <row r="126" spans="2:14" ht="17.25" customHeight="1" x14ac:dyDescent="0.25">
      <c r="B126" s="241"/>
      <c r="C126" s="241"/>
      <c r="D126" s="241"/>
      <c r="E126" s="241"/>
      <c r="F126" s="241"/>
      <c r="G126" s="241"/>
      <c r="H126" s="241"/>
      <c r="I126" s="241"/>
      <c r="J126" s="241"/>
      <c r="K126" s="241"/>
      <c r="L126" s="241"/>
      <c r="M126" s="241"/>
      <c r="N126" s="241"/>
    </row>
    <row r="127" spans="2:14" ht="17.25" customHeight="1" x14ac:dyDescent="0.25">
      <c r="B127" s="241"/>
      <c r="C127" s="241"/>
      <c r="D127" s="241"/>
      <c r="E127" s="241"/>
      <c r="F127" s="241"/>
      <c r="G127" s="241"/>
      <c r="H127" s="241"/>
      <c r="I127" s="241"/>
      <c r="J127" s="241"/>
      <c r="K127" s="241"/>
      <c r="L127" s="241"/>
      <c r="M127" s="241"/>
      <c r="N127" s="241"/>
    </row>
    <row r="128" spans="2:14" ht="17.25" customHeight="1" x14ac:dyDescent="0.25">
      <c r="B128" s="241"/>
      <c r="C128" s="241"/>
      <c r="D128" s="241"/>
      <c r="E128" s="241"/>
      <c r="F128" s="241"/>
      <c r="G128" s="241"/>
      <c r="H128" s="241"/>
      <c r="I128" s="241"/>
      <c r="J128" s="241"/>
      <c r="K128" s="241"/>
      <c r="L128" s="241"/>
      <c r="M128" s="241"/>
      <c r="N128" s="241"/>
    </row>
    <row r="129" spans="2:14" ht="17.25" customHeight="1" x14ac:dyDescent="0.25">
      <c r="B129" s="241"/>
      <c r="C129" s="241"/>
      <c r="D129" s="241"/>
      <c r="E129" s="241"/>
      <c r="F129" s="241"/>
      <c r="G129" s="241"/>
      <c r="H129" s="241"/>
      <c r="I129" s="241"/>
      <c r="J129" s="241"/>
      <c r="K129" s="241"/>
      <c r="L129" s="241"/>
      <c r="M129" s="241"/>
      <c r="N129" s="241"/>
    </row>
    <row r="130" spans="2:14" ht="17.25" customHeight="1" x14ac:dyDescent="0.25">
      <c r="B130" s="241"/>
      <c r="C130" s="241"/>
      <c r="D130" s="241"/>
      <c r="E130" s="241"/>
      <c r="F130" s="241"/>
      <c r="G130" s="241"/>
      <c r="H130" s="241"/>
      <c r="I130" s="241"/>
      <c r="J130" s="241"/>
      <c r="K130" s="241"/>
      <c r="L130" s="241"/>
      <c r="M130" s="241"/>
      <c r="N130" s="241"/>
    </row>
    <row r="131" spans="2:14" ht="17.25" customHeight="1" x14ac:dyDescent="0.25">
      <c r="B131" s="241"/>
      <c r="C131" s="241"/>
      <c r="D131" s="241"/>
      <c r="E131" s="241"/>
      <c r="F131" s="241"/>
      <c r="G131" s="241"/>
      <c r="H131" s="241"/>
      <c r="I131" s="241"/>
      <c r="J131" s="241"/>
      <c r="K131" s="241"/>
      <c r="L131" s="241"/>
      <c r="M131" s="241"/>
      <c r="N131" s="241"/>
    </row>
    <row r="132" spans="2:14" ht="17.25" customHeight="1" x14ac:dyDescent="0.25">
      <c r="B132" s="241"/>
      <c r="C132" s="241"/>
      <c r="D132" s="241"/>
      <c r="E132" s="241"/>
      <c r="F132" s="241"/>
      <c r="G132" s="241"/>
      <c r="H132" s="241"/>
      <c r="I132" s="241"/>
      <c r="J132" s="241"/>
      <c r="K132" s="241"/>
      <c r="L132" s="241"/>
      <c r="M132" s="241"/>
      <c r="N132" s="241"/>
    </row>
    <row r="133" spans="2:14" ht="17.25" customHeight="1" x14ac:dyDescent="0.25">
      <c r="B133" s="241"/>
      <c r="C133" s="241"/>
      <c r="D133" s="241"/>
      <c r="E133" s="241"/>
      <c r="F133" s="241"/>
      <c r="G133" s="241"/>
      <c r="H133" s="241"/>
      <c r="I133" s="241"/>
      <c r="J133" s="241"/>
      <c r="K133" s="241"/>
      <c r="L133" s="241"/>
      <c r="M133" s="241"/>
      <c r="N133" s="241"/>
    </row>
    <row r="134" spans="2:14" ht="17.25" customHeight="1" x14ac:dyDescent="0.25">
      <c r="B134" s="241"/>
      <c r="C134" s="241"/>
      <c r="D134" s="241"/>
      <c r="E134" s="241"/>
      <c r="F134" s="241"/>
      <c r="G134" s="241"/>
      <c r="H134" s="241"/>
      <c r="I134" s="241"/>
      <c r="J134" s="241"/>
      <c r="K134" s="241"/>
      <c r="L134" s="241"/>
      <c r="M134" s="241"/>
      <c r="N134" s="241"/>
    </row>
    <row r="135" spans="2:14" ht="17.25" customHeight="1" x14ac:dyDescent="0.25">
      <c r="B135" s="241"/>
      <c r="C135" s="241"/>
      <c r="D135" s="241"/>
      <c r="E135" s="241"/>
      <c r="F135" s="241"/>
      <c r="G135" s="241"/>
      <c r="H135" s="241"/>
      <c r="I135" s="241"/>
      <c r="J135" s="241"/>
      <c r="K135" s="241"/>
      <c r="L135" s="241"/>
      <c r="M135" s="241"/>
      <c r="N135" s="241"/>
    </row>
  </sheetData>
  <autoFilter ref="A31:N73" xr:uid="{5BD0C89D-0EFC-42D7-8276-00B32D194840}">
    <filterColumn colId="1" showButton="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autoFilter>
  <mergeCells count="126">
    <mergeCell ref="A1:C1"/>
    <mergeCell ref="B2:N2"/>
    <mergeCell ref="B3:N3"/>
    <mergeCell ref="B4:N4"/>
    <mergeCell ref="B5:N5"/>
    <mergeCell ref="B37:N37"/>
    <mergeCell ref="B22:N22"/>
    <mergeCell ref="B24:N24"/>
    <mergeCell ref="B26:N26"/>
    <mergeCell ref="B28:N28"/>
    <mergeCell ref="B29:N29"/>
    <mergeCell ref="B31:N31"/>
    <mergeCell ref="B32:N32"/>
    <mergeCell ref="B34:N34"/>
    <mergeCell ref="B35:N35"/>
    <mergeCell ref="B36:N36"/>
    <mergeCell ref="B14:N14"/>
    <mergeCell ref="B7:N7"/>
    <mergeCell ref="B64:N64"/>
    <mergeCell ref="B65:N65"/>
    <mergeCell ref="B53:N53"/>
    <mergeCell ref="B55:N55"/>
    <mergeCell ref="B56:N56"/>
    <mergeCell ref="B57:N57"/>
    <mergeCell ref="B58:N58"/>
    <mergeCell ref="B59:N59"/>
    <mergeCell ref="B52:N52"/>
    <mergeCell ref="B38:N38"/>
    <mergeCell ref="B39:N39"/>
    <mergeCell ref="B41:N41"/>
    <mergeCell ref="B42:N42"/>
    <mergeCell ref="B43:N43"/>
    <mergeCell ref="B44:N44"/>
    <mergeCell ref="B45:N45"/>
    <mergeCell ref="B46:N46"/>
    <mergeCell ref="B48:N48"/>
    <mergeCell ref="B49:N49"/>
    <mergeCell ref="B51:N51"/>
    <mergeCell ref="B47:N47"/>
    <mergeCell ref="B50:N50"/>
    <mergeCell ref="B72:N72"/>
    <mergeCell ref="B73:N73"/>
    <mergeCell ref="E8:N8"/>
    <mergeCell ref="G9:N9"/>
    <mergeCell ref="B66:N66"/>
    <mergeCell ref="B67:N67"/>
    <mergeCell ref="B68:N68"/>
    <mergeCell ref="B69:N69"/>
    <mergeCell ref="B70:N70"/>
    <mergeCell ref="B71:N71"/>
    <mergeCell ref="B60:N60"/>
    <mergeCell ref="B61:N61"/>
    <mergeCell ref="B62:N62"/>
    <mergeCell ref="B63:N63"/>
    <mergeCell ref="B11:N11"/>
    <mergeCell ref="B25:N25"/>
    <mergeCell ref="B15:N15"/>
    <mergeCell ref="B16:N16"/>
    <mergeCell ref="B18:N18"/>
    <mergeCell ref="B19:N19"/>
    <mergeCell ref="B20:N20"/>
    <mergeCell ref="B21:N21"/>
    <mergeCell ref="B10:N10"/>
    <mergeCell ref="B13:N13"/>
    <mergeCell ref="B80:N80"/>
    <mergeCell ref="B81:N81"/>
    <mergeCell ref="B82:N82"/>
    <mergeCell ref="B83:N83"/>
    <mergeCell ref="B74:N74"/>
    <mergeCell ref="B75:N75"/>
    <mergeCell ref="B77:N77"/>
    <mergeCell ref="B78:N78"/>
    <mergeCell ref="B79:N79"/>
    <mergeCell ref="B90:N90"/>
    <mergeCell ref="B91:N91"/>
    <mergeCell ref="B92:N92"/>
    <mergeCell ref="B93:N93"/>
    <mergeCell ref="B84:N84"/>
    <mergeCell ref="B85:N85"/>
    <mergeCell ref="B86:N86"/>
    <mergeCell ref="B87:N87"/>
    <mergeCell ref="B88:N88"/>
    <mergeCell ref="B89:N89"/>
    <mergeCell ref="B99:N99"/>
    <mergeCell ref="B100:N100"/>
    <mergeCell ref="B101:N101"/>
    <mergeCell ref="B102:N102"/>
    <mergeCell ref="B103:N103"/>
    <mergeCell ref="B94:N94"/>
    <mergeCell ref="B95:N95"/>
    <mergeCell ref="B96:N96"/>
    <mergeCell ref="B97:N97"/>
    <mergeCell ref="B98:N98"/>
    <mergeCell ref="B110:N110"/>
    <mergeCell ref="B111:N111"/>
    <mergeCell ref="B112:N112"/>
    <mergeCell ref="B113:N113"/>
    <mergeCell ref="B104:N104"/>
    <mergeCell ref="B105:N105"/>
    <mergeCell ref="B106:N106"/>
    <mergeCell ref="B107:N107"/>
    <mergeCell ref="B108:N108"/>
    <mergeCell ref="B134:N134"/>
    <mergeCell ref="B135:N135"/>
    <mergeCell ref="B54:N54"/>
    <mergeCell ref="B129:N129"/>
    <mergeCell ref="B130:N130"/>
    <mergeCell ref="B131:N131"/>
    <mergeCell ref="B132:N132"/>
    <mergeCell ref="B133:N133"/>
    <mergeCell ref="B124:N124"/>
    <mergeCell ref="B125:N125"/>
    <mergeCell ref="B126:N126"/>
    <mergeCell ref="B127:N127"/>
    <mergeCell ref="B128:N128"/>
    <mergeCell ref="B119:N119"/>
    <mergeCell ref="B120:N120"/>
    <mergeCell ref="B121:N121"/>
    <mergeCell ref="B122:N122"/>
    <mergeCell ref="B123:N123"/>
    <mergeCell ref="B114:N114"/>
    <mergeCell ref="B115:N115"/>
    <mergeCell ref="B116:N116"/>
    <mergeCell ref="B117:N117"/>
    <mergeCell ref="B118:N118"/>
    <mergeCell ref="B109:N109"/>
  </mergeCells>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628A2-153A-4AB8-96CC-38E01D495AC2}">
  <sheetPr>
    <tabColor rgb="FF0070C0"/>
  </sheetPr>
  <dimension ref="A1:X56"/>
  <sheetViews>
    <sheetView showGridLines="0" workbookViewId="0">
      <pane ySplit="1" topLeftCell="A2" activePane="bottomLeft" state="frozen"/>
      <selection pane="bottomLeft" activeCell="L2" sqref="L2:X2"/>
    </sheetView>
  </sheetViews>
  <sheetFormatPr defaultRowHeight="15" x14ac:dyDescent="0.25"/>
  <cols>
    <col min="1" max="1" width="13" style="14" customWidth="1"/>
    <col min="2" max="5" width="11" customWidth="1"/>
    <col min="6" max="6" width="11.42578125" bestFit="1" customWidth="1"/>
    <col min="7" max="7" width="11" customWidth="1"/>
    <col min="9" max="9" width="19.7109375" customWidth="1"/>
    <col min="10" max="10" width="25" customWidth="1"/>
    <col min="11" max="11" width="7.85546875" customWidth="1"/>
    <col min="14" max="14" width="12.5703125" customWidth="1"/>
    <col min="15" max="15" width="23.85546875" customWidth="1"/>
    <col min="16" max="16" width="6.7109375" customWidth="1"/>
  </cols>
  <sheetData>
    <row r="1" spans="1:24" ht="15.75" thickBot="1" x14ac:dyDescent="0.3">
      <c r="A1" s="39" t="s">
        <v>36</v>
      </c>
      <c r="B1" s="40" t="s">
        <v>37</v>
      </c>
      <c r="C1" s="40" t="s">
        <v>38</v>
      </c>
      <c r="D1" s="40" t="s">
        <v>39</v>
      </c>
      <c r="E1" s="40" t="s">
        <v>40</v>
      </c>
      <c r="F1" s="40" t="s">
        <v>41</v>
      </c>
      <c r="G1" s="41" t="s">
        <v>34</v>
      </c>
      <c r="H1" s="10"/>
      <c r="I1" s="283" t="s">
        <v>217</v>
      </c>
      <c r="J1" s="284"/>
      <c r="K1" s="284"/>
      <c r="L1" s="284"/>
      <c r="M1" s="284"/>
      <c r="N1" s="284"/>
      <c r="O1" s="284"/>
      <c r="P1" s="284"/>
      <c r="Q1" s="284"/>
      <c r="R1" s="284"/>
      <c r="S1" s="284"/>
      <c r="T1" s="284"/>
      <c r="U1" s="284"/>
      <c r="V1" s="285"/>
    </row>
    <row r="2" spans="1:24" s="10" customFormat="1" ht="18.75" x14ac:dyDescent="0.25">
      <c r="A2" s="38">
        <v>44219</v>
      </c>
      <c r="B2" s="27" t="s">
        <v>42</v>
      </c>
      <c r="C2" s="27" t="s">
        <v>43</v>
      </c>
      <c r="D2" s="27" t="s">
        <v>44</v>
      </c>
      <c r="E2" s="27">
        <v>10</v>
      </c>
      <c r="F2" s="27">
        <v>19.989999999999998</v>
      </c>
      <c r="G2" s="28">
        <f t="shared" ref="G2:G44" si="0">E2*F2</f>
        <v>199.89999999999998</v>
      </c>
      <c r="I2" s="12" t="s">
        <v>61</v>
      </c>
      <c r="J2" t="s">
        <v>63</v>
      </c>
      <c r="K2"/>
      <c r="L2" s="278" t="s">
        <v>214</v>
      </c>
      <c r="M2" s="278"/>
      <c r="N2" s="278"/>
      <c r="O2" s="278"/>
      <c r="P2" s="278"/>
      <c r="Q2" s="278"/>
      <c r="R2" s="278"/>
      <c r="S2" s="278"/>
      <c r="T2" s="278"/>
      <c r="U2" s="278"/>
      <c r="V2" s="278"/>
      <c r="W2" s="278"/>
      <c r="X2" s="278"/>
    </row>
    <row r="3" spans="1:24" x14ac:dyDescent="0.25">
      <c r="A3" s="29">
        <v>44236</v>
      </c>
      <c r="B3" s="30" t="s">
        <v>42</v>
      </c>
      <c r="C3" s="30" t="s">
        <v>45</v>
      </c>
      <c r="D3" s="30" t="s">
        <v>46</v>
      </c>
      <c r="E3" s="30">
        <v>40</v>
      </c>
      <c r="F3" s="30">
        <v>4.99</v>
      </c>
      <c r="G3" s="31">
        <f t="shared" si="0"/>
        <v>199.60000000000002</v>
      </c>
      <c r="I3" s="13" t="s">
        <v>42</v>
      </c>
      <c r="J3">
        <v>10909.43</v>
      </c>
      <c r="L3" s="280" t="s">
        <v>215</v>
      </c>
      <c r="M3" s="280"/>
      <c r="N3" s="280"/>
      <c r="O3" s="280"/>
      <c r="P3" s="280"/>
      <c r="Q3" s="280"/>
      <c r="R3" s="280"/>
      <c r="S3" s="280"/>
      <c r="T3" s="280"/>
      <c r="U3" s="280"/>
      <c r="V3" s="280"/>
      <c r="W3" s="280"/>
      <c r="X3" s="280"/>
    </row>
    <row r="4" spans="1:24" x14ac:dyDescent="0.25">
      <c r="A4" s="32">
        <v>44253</v>
      </c>
      <c r="B4" s="33" t="s">
        <v>42</v>
      </c>
      <c r="C4" s="33" t="s">
        <v>47</v>
      </c>
      <c r="D4" s="33" t="s">
        <v>48</v>
      </c>
      <c r="E4" s="33">
        <v>27</v>
      </c>
      <c r="F4" s="33">
        <v>19.989999999999998</v>
      </c>
      <c r="G4" s="34">
        <f t="shared" si="0"/>
        <v>539.7299999999999</v>
      </c>
      <c r="I4" s="15" t="s">
        <v>49</v>
      </c>
      <c r="J4">
        <v>438.37</v>
      </c>
      <c r="L4" s="280" t="s">
        <v>216</v>
      </c>
      <c r="M4" s="280"/>
      <c r="N4" s="280"/>
      <c r="O4" s="280"/>
      <c r="P4" s="280"/>
      <c r="Q4" s="280"/>
      <c r="R4" s="280"/>
      <c r="S4" s="280"/>
      <c r="T4" s="280"/>
      <c r="U4" s="280"/>
      <c r="V4" s="280"/>
      <c r="W4" s="280"/>
      <c r="X4" s="280"/>
    </row>
    <row r="5" spans="1:24" x14ac:dyDescent="0.25">
      <c r="A5" s="29">
        <v>44304</v>
      </c>
      <c r="B5" s="30" t="s">
        <v>42</v>
      </c>
      <c r="C5" s="30" t="s">
        <v>49</v>
      </c>
      <c r="D5" s="30" t="s">
        <v>46</v>
      </c>
      <c r="E5" s="30">
        <v>75</v>
      </c>
      <c r="F5" s="30">
        <v>1.99</v>
      </c>
      <c r="G5" s="31">
        <f t="shared" si="0"/>
        <v>149.25</v>
      </c>
      <c r="I5" s="15" t="s">
        <v>47</v>
      </c>
      <c r="J5">
        <v>1749.8700000000001</v>
      </c>
      <c r="L5" s="278"/>
      <c r="M5" s="278"/>
      <c r="N5" s="278"/>
      <c r="O5" s="278"/>
      <c r="P5" s="278"/>
      <c r="Q5" s="278"/>
      <c r="R5" s="278"/>
      <c r="S5" s="278"/>
      <c r="T5" s="278"/>
      <c r="U5" s="278"/>
      <c r="V5" s="278"/>
      <c r="W5" s="278"/>
      <c r="X5" s="278"/>
    </row>
    <row r="6" spans="1:24" x14ac:dyDescent="0.25">
      <c r="A6" s="32">
        <v>44321</v>
      </c>
      <c r="B6" s="33" t="s">
        <v>42</v>
      </c>
      <c r="C6" s="33" t="s">
        <v>45</v>
      </c>
      <c r="D6" s="33" t="s">
        <v>46</v>
      </c>
      <c r="E6" s="33">
        <v>90</v>
      </c>
      <c r="F6" s="33">
        <v>4.99</v>
      </c>
      <c r="G6" s="34">
        <f t="shared" si="0"/>
        <v>449.1</v>
      </c>
      <c r="I6" s="15" t="s">
        <v>45</v>
      </c>
      <c r="J6">
        <v>2832.15</v>
      </c>
      <c r="L6" s="278"/>
      <c r="M6" s="278"/>
      <c r="N6" s="278"/>
      <c r="O6" s="278"/>
      <c r="P6" s="278"/>
      <c r="Q6" s="278"/>
      <c r="R6" s="278"/>
      <c r="S6" s="278"/>
      <c r="T6" s="278"/>
      <c r="U6" s="278"/>
      <c r="V6" s="278"/>
      <c r="W6" s="278"/>
      <c r="X6" s="278"/>
    </row>
    <row r="7" spans="1:24" x14ac:dyDescent="0.25">
      <c r="A7" s="29">
        <v>44372</v>
      </c>
      <c r="B7" s="30" t="s">
        <v>42</v>
      </c>
      <c r="C7" s="30" t="s">
        <v>50</v>
      </c>
      <c r="D7" s="30" t="s">
        <v>46</v>
      </c>
      <c r="E7" s="30">
        <v>90</v>
      </c>
      <c r="F7" s="30">
        <v>4.99</v>
      </c>
      <c r="G7" s="31">
        <f t="shared" si="0"/>
        <v>449.1</v>
      </c>
      <c r="I7" s="15" t="s">
        <v>43</v>
      </c>
      <c r="J7">
        <v>2309.84</v>
      </c>
      <c r="L7" s="278" t="s">
        <v>218</v>
      </c>
      <c r="M7" s="278"/>
      <c r="N7" s="278"/>
      <c r="O7" s="278"/>
      <c r="P7" s="278"/>
      <c r="Q7" s="278"/>
      <c r="R7" s="278"/>
      <c r="S7" s="278"/>
      <c r="T7" s="278"/>
      <c r="U7" s="278"/>
      <c r="V7" s="278"/>
      <c r="W7" s="278"/>
      <c r="X7" s="278"/>
    </row>
    <row r="8" spans="1:24" x14ac:dyDescent="0.25">
      <c r="A8" s="32">
        <v>44440</v>
      </c>
      <c r="B8" s="33" t="s">
        <v>42</v>
      </c>
      <c r="C8" s="33" t="s">
        <v>51</v>
      </c>
      <c r="D8" s="33" t="s">
        <v>52</v>
      </c>
      <c r="E8" s="33">
        <v>4</v>
      </c>
      <c r="F8" s="33">
        <v>200</v>
      </c>
      <c r="G8" s="34">
        <f t="shared" si="0"/>
        <v>800</v>
      </c>
      <c r="I8" s="15" t="s">
        <v>50</v>
      </c>
      <c r="J8">
        <v>1387.77</v>
      </c>
      <c r="L8" s="278"/>
      <c r="M8" s="278"/>
      <c r="N8" s="278"/>
      <c r="O8" s="278"/>
      <c r="P8" s="278"/>
      <c r="Q8" s="278"/>
      <c r="R8" s="278"/>
      <c r="S8" s="278"/>
      <c r="T8" s="278"/>
      <c r="U8" s="278"/>
      <c r="V8" s="278"/>
      <c r="W8" s="278"/>
      <c r="X8" s="278"/>
    </row>
    <row r="9" spans="1:24" x14ac:dyDescent="0.25">
      <c r="A9" s="29">
        <v>44474</v>
      </c>
      <c r="B9" s="30" t="s">
        <v>42</v>
      </c>
      <c r="C9" s="30" t="s">
        <v>50</v>
      </c>
      <c r="D9" s="30" t="s">
        <v>44</v>
      </c>
      <c r="E9" s="30">
        <v>28</v>
      </c>
      <c r="F9" s="30">
        <v>8.99</v>
      </c>
      <c r="G9" s="31">
        <f t="shared" si="0"/>
        <v>251.72</v>
      </c>
      <c r="I9" s="15" t="s">
        <v>51</v>
      </c>
      <c r="J9">
        <v>2191.4300000000003</v>
      </c>
      <c r="L9" s="278"/>
      <c r="M9" s="278"/>
      <c r="N9" s="278"/>
      <c r="O9" s="278"/>
      <c r="P9" s="278"/>
      <c r="Q9" s="278"/>
      <c r="R9" s="278"/>
      <c r="S9" s="278"/>
      <c r="T9" s="278"/>
      <c r="U9" s="278"/>
      <c r="V9" s="278"/>
      <c r="W9" s="278"/>
      <c r="X9" s="278"/>
    </row>
    <row r="10" spans="1:24" x14ac:dyDescent="0.25">
      <c r="A10" s="32">
        <v>44525</v>
      </c>
      <c r="B10" s="33" t="s">
        <v>42</v>
      </c>
      <c r="C10" s="33" t="s">
        <v>43</v>
      </c>
      <c r="D10" s="33" t="s">
        <v>53</v>
      </c>
      <c r="E10" s="33">
        <v>96</v>
      </c>
      <c r="F10" s="33">
        <v>4.99</v>
      </c>
      <c r="G10" s="34">
        <f t="shared" si="0"/>
        <v>479.04</v>
      </c>
      <c r="I10" s="13" t="s">
        <v>54</v>
      </c>
      <c r="J10">
        <v>6012.1299999999992</v>
      </c>
      <c r="L10" s="278"/>
      <c r="M10" s="278"/>
      <c r="N10" s="278"/>
      <c r="O10" s="278"/>
      <c r="P10" s="278"/>
      <c r="Q10" s="278"/>
      <c r="R10" s="278"/>
      <c r="S10" s="278"/>
      <c r="T10" s="278"/>
      <c r="U10" s="278"/>
      <c r="V10" s="278"/>
      <c r="W10" s="278"/>
      <c r="X10" s="278"/>
    </row>
    <row r="11" spans="1:24" x14ac:dyDescent="0.25">
      <c r="A11" s="29">
        <v>44542</v>
      </c>
      <c r="B11" s="30" t="s">
        <v>42</v>
      </c>
      <c r="C11" s="30" t="s">
        <v>51</v>
      </c>
      <c r="D11" s="30" t="s">
        <v>46</v>
      </c>
      <c r="E11" s="30">
        <v>67</v>
      </c>
      <c r="F11" s="30">
        <v>1.29</v>
      </c>
      <c r="G11" s="31">
        <f t="shared" si="0"/>
        <v>86.43</v>
      </c>
      <c r="I11" s="15" t="s">
        <v>56</v>
      </c>
      <c r="J11">
        <v>536.75</v>
      </c>
      <c r="L11" s="278"/>
      <c r="M11" s="278"/>
      <c r="N11" s="278"/>
      <c r="O11" s="278"/>
      <c r="P11" s="278"/>
      <c r="Q11" s="278"/>
      <c r="R11" s="278"/>
      <c r="S11" s="278"/>
      <c r="T11" s="278"/>
      <c r="U11" s="278"/>
      <c r="V11" s="278"/>
      <c r="W11" s="278"/>
      <c r="X11" s="278"/>
    </row>
    <row r="12" spans="1:24" x14ac:dyDescent="0.25">
      <c r="A12" s="32">
        <v>44576</v>
      </c>
      <c r="B12" s="33" t="s">
        <v>42</v>
      </c>
      <c r="C12" s="33" t="s">
        <v>47</v>
      </c>
      <c r="D12" s="33" t="s">
        <v>44</v>
      </c>
      <c r="E12" s="33">
        <v>46</v>
      </c>
      <c r="F12" s="33">
        <v>8.99</v>
      </c>
      <c r="G12" s="34">
        <f t="shared" si="0"/>
        <v>413.54</v>
      </c>
      <c r="I12" s="15" t="s">
        <v>55</v>
      </c>
      <c r="J12">
        <v>2373.08</v>
      </c>
      <c r="L12" s="278"/>
      <c r="M12" s="278"/>
      <c r="N12" s="278"/>
      <c r="O12" s="278"/>
      <c r="P12" s="278"/>
      <c r="Q12" s="278"/>
      <c r="R12" s="278"/>
      <c r="S12" s="278"/>
      <c r="T12" s="278"/>
      <c r="U12" s="278"/>
      <c r="V12" s="278"/>
      <c r="W12" s="278"/>
      <c r="X12" s="278"/>
    </row>
    <row r="13" spans="1:24" x14ac:dyDescent="0.25">
      <c r="A13" s="29">
        <v>44593</v>
      </c>
      <c r="B13" s="30" t="s">
        <v>42</v>
      </c>
      <c r="C13" s="30" t="s">
        <v>51</v>
      </c>
      <c r="D13" s="30" t="s">
        <v>44</v>
      </c>
      <c r="E13" s="30">
        <v>87</v>
      </c>
      <c r="F13" s="30">
        <v>15</v>
      </c>
      <c r="G13" s="31">
        <f t="shared" si="0"/>
        <v>1305</v>
      </c>
      <c r="I13" s="15" t="s">
        <v>57</v>
      </c>
      <c r="J13">
        <v>3102.2999999999997</v>
      </c>
      <c r="L13" s="278"/>
      <c r="M13" s="278"/>
      <c r="N13" s="278"/>
      <c r="O13" s="278"/>
      <c r="P13" s="278"/>
      <c r="Q13" s="278"/>
      <c r="R13" s="278"/>
      <c r="S13" s="278"/>
      <c r="T13" s="278"/>
      <c r="U13" s="278"/>
      <c r="V13" s="278"/>
      <c r="W13" s="278"/>
      <c r="X13" s="278"/>
    </row>
    <row r="14" spans="1:24" x14ac:dyDescent="0.25">
      <c r="A14" s="32">
        <v>44644</v>
      </c>
      <c r="B14" s="33" t="s">
        <v>42</v>
      </c>
      <c r="C14" s="33" t="s">
        <v>45</v>
      </c>
      <c r="D14" s="33" t="s">
        <v>53</v>
      </c>
      <c r="E14" s="33">
        <v>50</v>
      </c>
      <c r="F14" s="33">
        <v>4.99</v>
      </c>
      <c r="G14" s="34">
        <f t="shared" si="0"/>
        <v>249.5</v>
      </c>
      <c r="I14" s="13" t="s">
        <v>58</v>
      </c>
      <c r="J14">
        <v>2486.7199999999998</v>
      </c>
      <c r="L14" s="278"/>
      <c r="M14" s="278"/>
      <c r="N14" s="278"/>
      <c r="O14" s="278"/>
      <c r="P14" s="278"/>
      <c r="Q14" s="278"/>
      <c r="R14" s="278"/>
      <c r="S14" s="278"/>
      <c r="T14" s="278"/>
      <c r="U14" s="278"/>
      <c r="V14" s="278"/>
      <c r="W14" s="278"/>
      <c r="X14" s="278"/>
    </row>
    <row r="15" spans="1:24" x14ac:dyDescent="0.25">
      <c r="A15" s="29">
        <v>44661</v>
      </c>
      <c r="B15" s="30" t="s">
        <v>42</v>
      </c>
      <c r="C15" s="30" t="s">
        <v>49</v>
      </c>
      <c r="D15" s="30" t="s">
        <v>46</v>
      </c>
      <c r="E15" s="30">
        <v>66</v>
      </c>
      <c r="F15" s="30">
        <v>1.99</v>
      </c>
      <c r="G15" s="31">
        <f t="shared" si="0"/>
        <v>131.34</v>
      </c>
      <c r="I15" s="15" t="s">
        <v>59</v>
      </c>
      <c r="J15">
        <v>1283.6099999999999</v>
      </c>
      <c r="L15" s="278"/>
      <c r="M15" s="278"/>
      <c r="N15" s="278"/>
      <c r="O15" s="278"/>
      <c r="P15" s="278"/>
      <c r="Q15" s="278"/>
      <c r="R15" s="278"/>
      <c r="S15" s="278"/>
      <c r="T15" s="278"/>
      <c r="U15" s="278"/>
      <c r="V15" s="278"/>
      <c r="W15" s="278"/>
      <c r="X15" s="278"/>
    </row>
    <row r="16" spans="1:24" x14ac:dyDescent="0.25">
      <c r="A16" s="32">
        <v>44695</v>
      </c>
      <c r="B16" s="33" t="s">
        <v>42</v>
      </c>
      <c r="C16" s="33" t="s">
        <v>47</v>
      </c>
      <c r="D16" s="33" t="s">
        <v>46</v>
      </c>
      <c r="E16" s="33">
        <v>53</v>
      </c>
      <c r="F16" s="33">
        <v>1.29</v>
      </c>
      <c r="G16" s="34">
        <f t="shared" si="0"/>
        <v>68.37</v>
      </c>
      <c r="I16" s="15" t="s">
        <v>60</v>
      </c>
      <c r="J16">
        <v>1203.1099999999999</v>
      </c>
      <c r="L16" s="278"/>
      <c r="M16" s="278"/>
      <c r="N16" s="278"/>
      <c r="O16" s="278"/>
      <c r="P16" s="278"/>
      <c r="Q16" s="278"/>
      <c r="R16" s="278"/>
      <c r="S16" s="278"/>
      <c r="T16" s="278"/>
      <c r="U16" s="278"/>
      <c r="V16" s="278"/>
      <c r="W16" s="278"/>
      <c r="X16" s="278"/>
    </row>
    <row r="17" spans="1:24" x14ac:dyDescent="0.25">
      <c r="A17" s="29">
        <v>44712</v>
      </c>
      <c r="B17" s="30" t="s">
        <v>42</v>
      </c>
      <c r="C17" s="30" t="s">
        <v>47</v>
      </c>
      <c r="D17" s="30" t="s">
        <v>44</v>
      </c>
      <c r="E17" s="30">
        <v>80</v>
      </c>
      <c r="F17" s="30">
        <v>8.99</v>
      </c>
      <c r="G17" s="31">
        <f t="shared" si="0"/>
        <v>719.2</v>
      </c>
      <c r="I17" s="13" t="s">
        <v>62</v>
      </c>
      <c r="J17">
        <v>19408.280000000002</v>
      </c>
      <c r="L17" s="278"/>
      <c r="M17" s="278"/>
      <c r="N17" s="278"/>
      <c r="O17" s="278"/>
      <c r="P17" s="278"/>
      <c r="Q17" s="278"/>
      <c r="R17" s="278"/>
      <c r="S17" s="278"/>
      <c r="T17" s="278"/>
      <c r="U17" s="278"/>
      <c r="V17" s="278"/>
      <c r="W17" s="278"/>
      <c r="X17" s="278"/>
    </row>
    <row r="18" spans="1:24" x14ac:dyDescent="0.25">
      <c r="A18" s="32">
        <v>44729</v>
      </c>
      <c r="B18" s="33" t="s">
        <v>42</v>
      </c>
      <c r="C18" s="33" t="s">
        <v>43</v>
      </c>
      <c r="D18" s="33" t="s">
        <v>52</v>
      </c>
      <c r="E18" s="33">
        <v>5</v>
      </c>
      <c r="F18" s="33">
        <v>125</v>
      </c>
      <c r="G18" s="34">
        <f t="shared" si="0"/>
        <v>625</v>
      </c>
      <c r="L18" s="278"/>
      <c r="M18" s="278"/>
      <c r="N18" s="278"/>
      <c r="O18" s="278"/>
      <c r="P18" s="278"/>
      <c r="Q18" s="278"/>
      <c r="R18" s="278"/>
      <c r="S18" s="278"/>
      <c r="T18" s="278"/>
      <c r="U18" s="278"/>
      <c r="V18" s="278"/>
      <c r="W18" s="278"/>
      <c r="X18" s="278"/>
    </row>
    <row r="19" spans="1:24" x14ac:dyDescent="0.25">
      <c r="A19" s="29">
        <v>44763</v>
      </c>
      <c r="B19" s="30" t="s">
        <v>42</v>
      </c>
      <c r="C19" s="30" t="s">
        <v>50</v>
      </c>
      <c r="D19" s="30" t="s">
        <v>53</v>
      </c>
      <c r="E19" s="30">
        <v>55</v>
      </c>
      <c r="F19" s="30">
        <v>12.49</v>
      </c>
      <c r="G19" s="31">
        <f t="shared" si="0"/>
        <v>686.95</v>
      </c>
      <c r="L19" s="278"/>
      <c r="M19" s="278"/>
      <c r="N19" s="278"/>
      <c r="O19" s="278"/>
      <c r="P19" s="278"/>
      <c r="Q19" s="278"/>
      <c r="R19" s="278"/>
      <c r="S19" s="278"/>
      <c r="T19" s="278"/>
      <c r="U19" s="278"/>
      <c r="V19" s="278"/>
      <c r="W19" s="278"/>
      <c r="X19" s="278"/>
    </row>
    <row r="20" spans="1:24" ht="18.75" customHeight="1" x14ac:dyDescent="0.25">
      <c r="A20" s="32">
        <v>44780</v>
      </c>
      <c r="B20" s="33" t="s">
        <v>42</v>
      </c>
      <c r="C20" s="33" t="s">
        <v>43</v>
      </c>
      <c r="D20" s="33" t="s">
        <v>53</v>
      </c>
      <c r="E20" s="33">
        <v>42</v>
      </c>
      <c r="F20" s="33">
        <v>23.95</v>
      </c>
      <c r="G20" s="34">
        <f t="shared" si="0"/>
        <v>1005.9</v>
      </c>
      <c r="I20" s="280" t="s">
        <v>213</v>
      </c>
      <c r="J20" s="280"/>
      <c r="K20" s="280"/>
      <c r="L20" s="280"/>
      <c r="M20" s="280"/>
      <c r="N20" s="280"/>
      <c r="O20" s="280"/>
    </row>
    <row r="21" spans="1:24" x14ac:dyDescent="0.25">
      <c r="A21" s="29">
        <v>44814</v>
      </c>
      <c r="B21" s="30" t="s">
        <v>42</v>
      </c>
      <c r="C21" s="30" t="s">
        <v>47</v>
      </c>
      <c r="D21" s="30" t="s">
        <v>46</v>
      </c>
      <c r="E21" s="30">
        <v>7</v>
      </c>
      <c r="F21" s="30">
        <v>1.29</v>
      </c>
      <c r="G21" s="31">
        <f t="shared" si="0"/>
        <v>9.0300000000000011</v>
      </c>
      <c r="I21" s="280" t="s">
        <v>207</v>
      </c>
      <c r="J21" s="280"/>
      <c r="K21" s="280"/>
      <c r="L21" s="280"/>
      <c r="M21" s="280"/>
      <c r="N21" s="280"/>
      <c r="O21" s="280"/>
    </row>
    <row r="22" spans="1:24" x14ac:dyDescent="0.25">
      <c r="A22" s="32">
        <v>44865</v>
      </c>
      <c r="B22" s="33" t="s">
        <v>42</v>
      </c>
      <c r="C22" s="33" t="s">
        <v>49</v>
      </c>
      <c r="D22" s="33" t="s">
        <v>46</v>
      </c>
      <c r="E22" s="33">
        <v>14</v>
      </c>
      <c r="F22" s="33">
        <v>1.29</v>
      </c>
      <c r="G22" s="34">
        <f t="shared" si="0"/>
        <v>18.060000000000002</v>
      </c>
      <c r="I22" s="280" t="s">
        <v>209</v>
      </c>
      <c r="J22" s="280"/>
      <c r="K22" s="280"/>
      <c r="L22" s="280"/>
      <c r="M22" s="280"/>
      <c r="N22" s="280"/>
      <c r="O22" s="280"/>
    </row>
    <row r="23" spans="1:24" x14ac:dyDescent="0.25">
      <c r="A23" s="29">
        <v>44882</v>
      </c>
      <c r="B23" s="30" t="s">
        <v>42</v>
      </c>
      <c r="C23" s="30" t="s">
        <v>45</v>
      </c>
      <c r="D23" s="30" t="s">
        <v>44</v>
      </c>
      <c r="E23" s="30">
        <v>11</v>
      </c>
      <c r="F23" s="30">
        <v>4.99</v>
      </c>
      <c r="G23" s="31">
        <f t="shared" si="0"/>
        <v>54.89</v>
      </c>
      <c r="I23" s="281" t="s">
        <v>208</v>
      </c>
      <c r="J23" s="281"/>
      <c r="K23" s="281"/>
      <c r="L23" s="281"/>
      <c r="M23" s="281"/>
      <c r="N23" s="281"/>
      <c r="O23" s="281"/>
    </row>
    <row r="24" spans="1:24" x14ac:dyDescent="0.25">
      <c r="A24" s="32">
        <v>44899</v>
      </c>
      <c r="B24" s="33" t="s">
        <v>42</v>
      </c>
      <c r="C24" s="33" t="s">
        <v>45</v>
      </c>
      <c r="D24" s="33" t="s">
        <v>44</v>
      </c>
      <c r="E24" s="33">
        <v>94</v>
      </c>
      <c r="F24" s="33">
        <v>19.989999999999998</v>
      </c>
      <c r="G24" s="34">
        <f t="shared" si="0"/>
        <v>1879.06</v>
      </c>
      <c r="I24" s="280"/>
      <c r="J24" s="280"/>
      <c r="K24" s="280"/>
      <c r="L24" s="280"/>
      <c r="M24" s="280"/>
      <c r="N24" s="280"/>
    </row>
    <row r="25" spans="1:24" x14ac:dyDescent="0.25">
      <c r="A25" s="29">
        <v>44916</v>
      </c>
      <c r="B25" s="30" t="s">
        <v>42</v>
      </c>
      <c r="C25" s="30" t="s">
        <v>49</v>
      </c>
      <c r="D25" s="30" t="s">
        <v>44</v>
      </c>
      <c r="E25" s="30">
        <v>28</v>
      </c>
      <c r="F25" s="30">
        <v>4.99</v>
      </c>
      <c r="G25" s="31">
        <f t="shared" si="0"/>
        <v>139.72</v>
      </c>
      <c r="I25" s="280"/>
      <c r="J25" s="280"/>
      <c r="K25" s="280"/>
      <c r="L25" s="280"/>
      <c r="M25" s="280"/>
      <c r="N25" s="280"/>
    </row>
    <row r="26" spans="1:24" x14ac:dyDescent="0.25">
      <c r="A26" s="32">
        <v>44202</v>
      </c>
      <c r="B26" s="33" t="s">
        <v>54</v>
      </c>
      <c r="C26" s="33" t="s">
        <v>55</v>
      </c>
      <c r="D26" s="33" t="s">
        <v>46</v>
      </c>
      <c r="E26" s="33">
        <v>95</v>
      </c>
      <c r="F26" s="33">
        <v>1.99</v>
      </c>
      <c r="G26" s="34">
        <f t="shared" si="0"/>
        <v>189.05</v>
      </c>
      <c r="I26" s="280"/>
      <c r="J26" s="280"/>
      <c r="K26" s="280"/>
      <c r="L26" s="280"/>
      <c r="M26" s="280"/>
      <c r="N26" s="280"/>
    </row>
    <row r="27" spans="1:24" x14ac:dyDescent="0.25">
      <c r="A27" s="29">
        <v>44287</v>
      </c>
      <c r="B27" s="30" t="s">
        <v>54</v>
      </c>
      <c r="C27" s="30" t="s">
        <v>55</v>
      </c>
      <c r="D27" s="30" t="s">
        <v>44</v>
      </c>
      <c r="E27" s="30">
        <v>60</v>
      </c>
      <c r="F27" s="30">
        <v>4.99</v>
      </c>
      <c r="G27" s="31">
        <f t="shared" si="0"/>
        <v>299.40000000000003</v>
      </c>
      <c r="I27" s="280"/>
      <c r="J27" s="280"/>
      <c r="K27" s="280"/>
      <c r="L27" s="280"/>
      <c r="M27" s="280"/>
      <c r="N27" s="280"/>
    </row>
    <row r="28" spans="1:24" x14ac:dyDescent="0.25">
      <c r="A28" s="32">
        <v>44355</v>
      </c>
      <c r="B28" s="33" t="s">
        <v>54</v>
      </c>
      <c r="C28" s="33" t="s">
        <v>55</v>
      </c>
      <c r="D28" s="33" t="s">
        <v>44</v>
      </c>
      <c r="E28" s="33">
        <v>60</v>
      </c>
      <c r="F28" s="33">
        <v>8.99</v>
      </c>
      <c r="G28" s="34">
        <f t="shared" si="0"/>
        <v>539.4</v>
      </c>
      <c r="I28" s="280"/>
      <c r="J28" s="280"/>
      <c r="K28" s="280"/>
      <c r="L28" s="280"/>
      <c r="M28" s="280"/>
      <c r="N28" s="280"/>
    </row>
    <row r="29" spans="1:24" x14ac:dyDescent="0.25">
      <c r="A29" s="29">
        <v>44389</v>
      </c>
      <c r="B29" s="30" t="s">
        <v>54</v>
      </c>
      <c r="C29" s="30" t="s">
        <v>56</v>
      </c>
      <c r="D29" s="30" t="s">
        <v>44</v>
      </c>
      <c r="E29" s="30">
        <v>29</v>
      </c>
      <c r="F29" s="30">
        <v>1.99</v>
      </c>
      <c r="G29" s="31">
        <f t="shared" si="0"/>
        <v>57.71</v>
      </c>
      <c r="I29" s="280"/>
      <c r="J29" s="280"/>
      <c r="K29" s="280"/>
      <c r="L29" s="280"/>
      <c r="M29" s="280"/>
      <c r="N29" s="280"/>
    </row>
    <row r="30" spans="1:24" x14ac:dyDescent="0.25">
      <c r="A30" s="32">
        <v>44406</v>
      </c>
      <c r="B30" s="33" t="s">
        <v>54</v>
      </c>
      <c r="C30" s="33" t="s">
        <v>57</v>
      </c>
      <c r="D30" s="33" t="s">
        <v>44</v>
      </c>
      <c r="E30" s="33">
        <v>81</v>
      </c>
      <c r="F30" s="33">
        <v>19.989999999999998</v>
      </c>
      <c r="G30" s="34">
        <f t="shared" si="0"/>
        <v>1619.1899999999998</v>
      </c>
      <c r="I30" s="280"/>
      <c r="J30" s="280"/>
      <c r="K30" s="280"/>
      <c r="L30" s="280"/>
      <c r="M30" s="280"/>
      <c r="N30" s="280"/>
    </row>
    <row r="31" spans="1:24" x14ac:dyDescent="0.25">
      <c r="A31" s="29">
        <v>44423</v>
      </c>
      <c r="B31" s="30" t="s">
        <v>54</v>
      </c>
      <c r="C31" s="30" t="s">
        <v>55</v>
      </c>
      <c r="D31" s="30" t="s">
        <v>46</v>
      </c>
      <c r="E31" s="30">
        <v>35</v>
      </c>
      <c r="F31" s="30">
        <v>4.99</v>
      </c>
      <c r="G31" s="31">
        <f t="shared" si="0"/>
        <v>174.65</v>
      </c>
      <c r="I31" s="280"/>
      <c r="J31" s="280"/>
      <c r="K31" s="280"/>
      <c r="L31" s="280"/>
      <c r="M31" s="280"/>
      <c r="N31" s="280"/>
    </row>
    <row r="32" spans="1:24" x14ac:dyDescent="0.25">
      <c r="A32" s="32">
        <v>44457</v>
      </c>
      <c r="B32" s="33" t="s">
        <v>54</v>
      </c>
      <c r="C32" s="33" t="s">
        <v>55</v>
      </c>
      <c r="D32" s="33" t="s">
        <v>53</v>
      </c>
      <c r="E32" s="33">
        <v>16</v>
      </c>
      <c r="F32" s="33">
        <v>15.99</v>
      </c>
      <c r="G32" s="34">
        <f t="shared" si="0"/>
        <v>255.84</v>
      </c>
      <c r="I32" s="280"/>
      <c r="J32" s="280"/>
      <c r="K32" s="280"/>
      <c r="L32" s="280"/>
      <c r="M32" s="280"/>
      <c r="N32" s="280"/>
    </row>
    <row r="33" spans="1:16" x14ac:dyDescent="0.25">
      <c r="A33" s="29">
        <v>44491</v>
      </c>
      <c r="B33" s="30" t="s">
        <v>54</v>
      </c>
      <c r="C33" s="30" t="s">
        <v>55</v>
      </c>
      <c r="D33" s="30" t="s">
        <v>48</v>
      </c>
      <c r="E33" s="30">
        <v>64</v>
      </c>
      <c r="F33" s="30">
        <v>8.99</v>
      </c>
      <c r="G33" s="31">
        <f t="shared" si="0"/>
        <v>575.36</v>
      </c>
      <c r="I33" s="280"/>
      <c r="J33" s="280"/>
      <c r="K33" s="280"/>
      <c r="L33" s="280"/>
      <c r="M33" s="280"/>
      <c r="N33" s="280"/>
    </row>
    <row r="34" spans="1:16" x14ac:dyDescent="0.25">
      <c r="A34" s="32">
        <v>44508</v>
      </c>
      <c r="B34" s="33" t="s">
        <v>54</v>
      </c>
      <c r="C34" s="33" t="s">
        <v>57</v>
      </c>
      <c r="D34" s="33" t="s">
        <v>48</v>
      </c>
      <c r="E34" s="33">
        <v>15</v>
      </c>
      <c r="F34" s="33">
        <v>19.989999999999998</v>
      </c>
      <c r="G34" s="34">
        <f t="shared" si="0"/>
        <v>299.84999999999997</v>
      </c>
      <c r="I34" s="280"/>
      <c r="J34" s="280"/>
      <c r="K34" s="280"/>
      <c r="L34" s="280"/>
      <c r="M34" s="280"/>
      <c r="N34" s="280"/>
    </row>
    <row r="35" spans="1:16" x14ac:dyDescent="0.25">
      <c r="A35" s="29">
        <v>44559</v>
      </c>
      <c r="B35" s="30" t="s">
        <v>54</v>
      </c>
      <c r="C35" s="30" t="s">
        <v>57</v>
      </c>
      <c r="D35" s="30" t="s">
        <v>53</v>
      </c>
      <c r="E35" s="30">
        <v>74</v>
      </c>
      <c r="F35" s="30">
        <v>15.99</v>
      </c>
      <c r="G35" s="31">
        <f t="shared" si="0"/>
        <v>1183.26</v>
      </c>
      <c r="I35" s="279"/>
      <c r="J35" s="279"/>
      <c r="K35" s="279"/>
      <c r="L35" s="279"/>
      <c r="M35" s="279"/>
      <c r="N35" s="279"/>
    </row>
    <row r="36" spans="1:16" x14ac:dyDescent="0.25">
      <c r="A36" s="32">
        <v>44610</v>
      </c>
      <c r="B36" s="33" t="s">
        <v>54</v>
      </c>
      <c r="C36" s="33" t="s">
        <v>55</v>
      </c>
      <c r="D36" s="33" t="s">
        <v>44</v>
      </c>
      <c r="E36" s="33">
        <v>5</v>
      </c>
      <c r="F36" s="33">
        <v>6</v>
      </c>
      <c r="G36" s="34">
        <f t="shared" si="0"/>
        <v>30</v>
      </c>
    </row>
    <row r="37" spans="1:16" x14ac:dyDescent="0.25">
      <c r="A37" s="29">
        <v>44678</v>
      </c>
      <c r="B37" s="30" t="s">
        <v>54</v>
      </c>
      <c r="C37" s="30" t="s">
        <v>56</v>
      </c>
      <c r="D37" s="30" t="s">
        <v>48</v>
      </c>
      <c r="E37" s="30">
        <v>96</v>
      </c>
      <c r="F37" s="30">
        <v>4.99</v>
      </c>
      <c r="G37" s="31">
        <f t="shared" si="0"/>
        <v>479.04</v>
      </c>
    </row>
    <row r="38" spans="1:16" x14ac:dyDescent="0.25">
      <c r="A38" s="32">
        <v>44746</v>
      </c>
      <c r="B38" s="33" t="s">
        <v>54</v>
      </c>
      <c r="C38" s="33" t="s">
        <v>55</v>
      </c>
      <c r="D38" s="33" t="s">
        <v>53</v>
      </c>
      <c r="E38" s="33">
        <v>62</v>
      </c>
      <c r="F38" s="33">
        <v>4.99</v>
      </c>
      <c r="G38" s="34">
        <f t="shared" si="0"/>
        <v>309.38</v>
      </c>
    </row>
    <row r="39" spans="1:16" x14ac:dyDescent="0.25">
      <c r="A39" s="29">
        <v>44270</v>
      </c>
      <c r="B39" s="30" t="s">
        <v>58</v>
      </c>
      <c r="C39" s="30" t="s">
        <v>59</v>
      </c>
      <c r="D39" s="30" t="s">
        <v>46</v>
      </c>
      <c r="E39" s="30">
        <v>56</v>
      </c>
      <c r="F39" s="30">
        <v>2.99</v>
      </c>
      <c r="G39" s="31">
        <f t="shared" si="0"/>
        <v>167.44</v>
      </c>
    </row>
    <row r="40" spans="1:16" x14ac:dyDescent="0.25">
      <c r="A40" s="32">
        <v>44338</v>
      </c>
      <c r="B40" s="33" t="s">
        <v>58</v>
      </c>
      <c r="C40" s="33" t="s">
        <v>60</v>
      </c>
      <c r="D40" s="33" t="s">
        <v>46</v>
      </c>
      <c r="E40" s="33">
        <v>32</v>
      </c>
      <c r="F40" s="33">
        <v>1.99</v>
      </c>
      <c r="G40" s="34">
        <f t="shared" si="0"/>
        <v>63.68</v>
      </c>
      <c r="I40" s="278"/>
      <c r="J40" s="278"/>
      <c r="K40" s="278"/>
      <c r="L40" s="278"/>
      <c r="M40" s="278"/>
      <c r="N40" s="278"/>
      <c r="O40" s="278"/>
      <c r="P40" s="278"/>
    </row>
    <row r="41" spans="1:16" x14ac:dyDescent="0.25">
      <c r="A41" s="29">
        <v>44627</v>
      </c>
      <c r="B41" s="30" t="s">
        <v>58</v>
      </c>
      <c r="C41" s="30" t="s">
        <v>59</v>
      </c>
      <c r="D41" s="30" t="s">
        <v>44</v>
      </c>
      <c r="E41" s="30">
        <v>7</v>
      </c>
      <c r="F41" s="30">
        <v>19.989999999999998</v>
      </c>
      <c r="G41" s="31">
        <f t="shared" si="0"/>
        <v>139.92999999999998</v>
      </c>
      <c r="I41" s="280"/>
      <c r="J41" s="280"/>
      <c r="K41" s="280"/>
      <c r="L41" s="280"/>
      <c r="M41" s="280"/>
      <c r="N41" s="280"/>
      <c r="O41" s="280"/>
      <c r="P41" s="280"/>
    </row>
    <row r="42" spans="1:16" ht="15" customHeight="1" x14ac:dyDescent="0.25">
      <c r="A42" s="32">
        <v>44797</v>
      </c>
      <c r="B42" s="33" t="s">
        <v>58</v>
      </c>
      <c r="C42" s="33" t="s">
        <v>59</v>
      </c>
      <c r="D42" s="33" t="s">
        <v>52</v>
      </c>
      <c r="E42" s="33">
        <v>3</v>
      </c>
      <c r="F42" s="33">
        <v>275</v>
      </c>
      <c r="G42" s="34">
        <f t="shared" si="0"/>
        <v>825</v>
      </c>
      <c r="I42" s="278" t="s">
        <v>210</v>
      </c>
      <c r="J42" s="278"/>
      <c r="K42" s="278"/>
      <c r="L42" s="278"/>
      <c r="M42" s="278"/>
      <c r="N42" s="278"/>
      <c r="O42" s="278"/>
      <c r="P42" s="278"/>
    </row>
    <row r="43" spans="1:16" x14ac:dyDescent="0.25">
      <c r="A43" s="29">
        <v>44831</v>
      </c>
      <c r="B43" s="30" t="s">
        <v>58</v>
      </c>
      <c r="C43" s="30" t="s">
        <v>59</v>
      </c>
      <c r="D43" s="30" t="s">
        <v>48</v>
      </c>
      <c r="E43" s="30">
        <v>76</v>
      </c>
      <c r="F43" s="30">
        <v>1.99</v>
      </c>
      <c r="G43" s="31">
        <f t="shared" si="0"/>
        <v>151.24</v>
      </c>
      <c r="I43" s="280" t="s">
        <v>211</v>
      </c>
      <c r="J43" s="280"/>
      <c r="K43" s="280"/>
      <c r="L43" s="280"/>
      <c r="M43" s="280"/>
      <c r="N43" s="280"/>
      <c r="O43" s="280"/>
      <c r="P43" s="280"/>
    </row>
    <row r="44" spans="1:16" ht="15" customHeight="1" x14ac:dyDescent="0.25">
      <c r="A44" s="32">
        <v>44848</v>
      </c>
      <c r="B44" s="33" t="s">
        <v>58</v>
      </c>
      <c r="C44" s="33" t="s">
        <v>60</v>
      </c>
      <c r="D44" s="33" t="s">
        <v>44</v>
      </c>
      <c r="E44" s="33">
        <v>57</v>
      </c>
      <c r="F44" s="33">
        <v>19.989999999999998</v>
      </c>
      <c r="G44" s="34">
        <f t="shared" si="0"/>
        <v>1139.4299999999998</v>
      </c>
      <c r="I44" s="282" t="s">
        <v>212</v>
      </c>
      <c r="J44" s="282"/>
      <c r="K44" s="282"/>
      <c r="L44" s="282"/>
      <c r="M44" s="282"/>
      <c r="N44" s="282"/>
      <c r="O44" s="282"/>
      <c r="P44" s="282"/>
    </row>
    <row r="45" spans="1:16" ht="15.75" thickBot="1" x14ac:dyDescent="0.3">
      <c r="A45" s="35"/>
      <c r="B45" s="36"/>
      <c r="C45" s="36"/>
      <c r="D45" s="36"/>
      <c r="E45" s="36"/>
      <c r="F45" s="36"/>
      <c r="G45" s="37"/>
      <c r="I45" s="280"/>
      <c r="J45" s="280"/>
      <c r="K45" s="280"/>
      <c r="L45" s="280"/>
      <c r="M45" s="280"/>
      <c r="N45" s="280"/>
      <c r="O45" s="280"/>
      <c r="P45" s="280"/>
    </row>
    <row r="46" spans="1:16" x14ac:dyDescent="0.25">
      <c r="A46"/>
      <c r="I46" s="280"/>
      <c r="J46" s="280"/>
      <c r="K46" s="280"/>
      <c r="L46" s="280"/>
      <c r="M46" s="280"/>
      <c r="N46" s="280"/>
      <c r="O46" s="280"/>
      <c r="P46" s="280"/>
    </row>
    <row r="47" spans="1:16" x14ac:dyDescent="0.25">
      <c r="A47"/>
      <c r="I47" s="280"/>
      <c r="J47" s="280"/>
      <c r="K47" s="280"/>
      <c r="L47" s="280"/>
      <c r="M47" s="280"/>
      <c r="N47" s="280"/>
      <c r="O47" s="280"/>
      <c r="P47" s="280"/>
    </row>
    <row r="48" spans="1:16" x14ac:dyDescent="0.25">
      <c r="A48"/>
      <c r="I48" s="280"/>
      <c r="J48" s="280"/>
      <c r="K48" s="280"/>
      <c r="L48" s="280"/>
      <c r="M48" s="280"/>
      <c r="N48" s="280"/>
      <c r="O48" s="280"/>
      <c r="P48" s="280"/>
    </row>
    <row r="49" spans="1:16" x14ac:dyDescent="0.25">
      <c r="A49"/>
      <c r="I49" s="280"/>
      <c r="J49" s="280"/>
      <c r="K49" s="280"/>
      <c r="L49" s="280"/>
      <c r="M49" s="280"/>
      <c r="N49" s="280"/>
      <c r="O49" s="280"/>
      <c r="P49" s="280"/>
    </row>
    <row r="50" spans="1:16" x14ac:dyDescent="0.25">
      <c r="A50"/>
      <c r="I50" s="280"/>
      <c r="J50" s="280"/>
      <c r="K50" s="280"/>
      <c r="L50" s="280"/>
      <c r="M50" s="280"/>
      <c r="N50" s="280"/>
      <c r="O50" s="280"/>
      <c r="P50" s="280"/>
    </row>
    <row r="51" spans="1:16" x14ac:dyDescent="0.25">
      <c r="A51"/>
      <c r="I51" s="280"/>
      <c r="J51" s="280"/>
      <c r="K51" s="280"/>
      <c r="L51" s="280"/>
      <c r="M51" s="280"/>
      <c r="N51" s="280"/>
      <c r="O51" s="280"/>
      <c r="P51" s="280"/>
    </row>
    <row r="52" spans="1:16" x14ac:dyDescent="0.25">
      <c r="A52"/>
      <c r="I52" s="280"/>
      <c r="J52" s="280"/>
      <c r="K52" s="280"/>
      <c r="L52" s="280"/>
      <c r="M52" s="280"/>
      <c r="N52" s="280"/>
      <c r="O52" s="280"/>
      <c r="P52" s="280"/>
    </row>
    <row r="53" spans="1:16" x14ac:dyDescent="0.25">
      <c r="A53"/>
      <c r="I53" s="279"/>
      <c r="J53" s="279"/>
      <c r="K53" s="279"/>
      <c r="L53" s="279"/>
      <c r="M53" s="279"/>
      <c r="N53" s="279"/>
      <c r="O53" s="279"/>
      <c r="P53" s="279"/>
    </row>
    <row r="54" spans="1:16" x14ac:dyDescent="0.25">
      <c r="A54"/>
    </row>
    <row r="55" spans="1:16" x14ac:dyDescent="0.25">
      <c r="A55"/>
    </row>
    <row r="56" spans="1:16" x14ac:dyDescent="0.25">
      <c r="A56"/>
    </row>
  </sheetData>
  <mergeCells count="49">
    <mergeCell ref="I1:V1"/>
    <mergeCell ref="I24:N24"/>
    <mergeCell ref="I25:N25"/>
    <mergeCell ref="I26:N26"/>
    <mergeCell ref="I27:N27"/>
    <mergeCell ref="L2:X2"/>
    <mergeCell ref="L3:X3"/>
    <mergeCell ref="L4:X4"/>
    <mergeCell ref="L5:X5"/>
    <mergeCell ref="L6:X6"/>
    <mergeCell ref="L7:X7"/>
    <mergeCell ref="L8:X8"/>
    <mergeCell ref="L9:X9"/>
    <mergeCell ref="L10:X10"/>
    <mergeCell ref="L11:X11"/>
    <mergeCell ref="L12:X12"/>
    <mergeCell ref="I28:N28"/>
    <mergeCell ref="I29:N29"/>
    <mergeCell ref="I30:N30"/>
    <mergeCell ref="I31:N31"/>
    <mergeCell ref="I32:N32"/>
    <mergeCell ref="I34:N34"/>
    <mergeCell ref="I35:N35"/>
    <mergeCell ref="I42:P42"/>
    <mergeCell ref="I40:P40"/>
    <mergeCell ref="I41:P41"/>
    <mergeCell ref="I53:P53"/>
    <mergeCell ref="I20:O20"/>
    <mergeCell ref="I21:O21"/>
    <mergeCell ref="I22:O22"/>
    <mergeCell ref="I23:O23"/>
    <mergeCell ref="I48:P48"/>
    <mergeCell ref="I49:P49"/>
    <mergeCell ref="I50:P50"/>
    <mergeCell ref="I51:P51"/>
    <mergeCell ref="I52:P52"/>
    <mergeCell ref="I43:P43"/>
    <mergeCell ref="I44:P44"/>
    <mergeCell ref="I45:P45"/>
    <mergeCell ref="I46:P46"/>
    <mergeCell ref="I47:P47"/>
    <mergeCell ref="I33:N33"/>
    <mergeCell ref="L18:X18"/>
    <mergeCell ref="L19:X19"/>
    <mergeCell ref="L13:X13"/>
    <mergeCell ref="L14:X14"/>
    <mergeCell ref="L15:X15"/>
    <mergeCell ref="L16:X16"/>
    <mergeCell ref="L17:X17"/>
  </mergeCells>
  <pageMargins left="0.7" right="0.7" top="0.75" bottom="0.75" header="0.3" footer="0.3"/>
  <pageSetup orientation="portrait" horizontalDpi="90" verticalDpi="90"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91C4A-F316-45AB-9336-B0B21337D753}">
  <sheetPr>
    <tabColor rgb="FF00B050"/>
  </sheetPr>
  <dimension ref="A1:M84"/>
  <sheetViews>
    <sheetView topLeftCell="A42" zoomScaleNormal="100" workbookViewId="0">
      <selection activeCell="H89" sqref="H89"/>
    </sheetView>
  </sheetViews>
  <sheetFormatPr defaultRowHeight="15" x14ac:dyDescent="0.25"/>
  <cols>
    <col min="1" max="1" width="45.7109375" customWidth="1"/>
    <col min="2" max="2" width="5" customWidth="1"/>
    <col min="3" max="3" width="14.140625" customWidth="1"/>
    <col min="4" max="4" width="11.28515625" customWidth="1"/>
    <col min="5" max="5" width="11.7109375" customWidth="1"/>
    <col min="6" max="6" width="11.140625" customWidth="1"/>
    <col min="7" max="7" width="11.42578125" customWidth="1"/>
    <col min="8" max="8" width="9" customWidth="1"/>
    <col min="10" max="10" width="7.5703125" customWidth="1"/>
    <col min="11" max="11" width="10.5703125" customWidth="1"/>
    <col min="12" max="12" width="6.85546875" customWidth="1"/>
    <col min="13" max="13" width="106.5703125" customWidth="1"/>
  </cols>
  <sheetData>
    <row r="1" spans="3:13" ht="29.25" customHeight="1" thickBot="1" x14ac:dyDescent="0.3">
      <c r="C1" s="286" t="s">
        <v>104</v>
      </c>
      <c r="D1" s="286"/>
      <c r="E1" s="286"/>
      <c r="F1" s="286"/>
      <c r="G1" s="286"/>
    </row>
    <row r="2" spans="3:13" ht="15.75" thickBot="1" x14ac:dyDescent="0.3">
      <c r="C2" s="54" t="s">
        <v>111</v>
      </c>
      <c r="D2" s="55" t="s">
        <v>105</v>
      </c>
      <c r="E2" s="55" t="s">
        <v>106</v>
      </c>
      <c r="F2" s="56" t="s">
        <v>110</v>
      </c>
      <c r="L2">
        <v>1</v>
      </c>
      <c r="M2" t="s">
        <v>116</v>
      </c>
    </row>
    <row r="3" spans="3:13" x14ac:dyDescent="0.25">
      <c r="C3" s="50">
        <v>1</v>
      </c>
      <c r="D3" s="51" t="s">
        <v>57</v>
      </c>
      <c r="E3" s="52" t="s">
        <v>107</v>
      </c>
      <c r="F3" s="53">
        <v>58</v>
      </c>
      <c r="L3">
        <v>2</v>
      </c>
      <c r="M3" t="s">
        <v>112</v>
      </c>
    </row>
    <row r="4" spans="3:13" x14ac:dyDescent="0.25">
      <c r="C4" s="43">
        <v>2</v>
      </c>
      <c r="D4" s="45" t="s">
        <v>55</v>
      </c>
      <c r="E4" s="45" t="s">
        <v>107</v>
      </c>
      <c r="F4" s="46">
        <v>43</v>
      </c>
      <c r="L4">
        <v>3</v>
      </c>
      <c r="M4" t="s">
        <v>117</v>
      </c>
    </row>
    <row r="5" spans="3:13" x14ac:dyDescent="0.25">
      <c r="C5" s="43">
        <v>3</v>
      </c>
      <c r="D5" s="44" t="s">
        <v>56</v>
      </c>
      <c r="E5" s="45" t="s">
        <v>108</v>
      </c>
      <c r="F5" s="46">
        <v>65</v>
      </c>
      <c r="L5">
        <v>4</v>
      </c>
      <c r="M5" s="57" t="s">
        <v>113</v>
      </c>
    </row>
    <row r="6" spans="3:13" x14ac:dyDescent="0.25">
      <c r="C6" s="43">
        <v>4</v>
      </c>
      <c r="D6" s="45" t="s">
        <v>60</v>
      </c>
      <c r="E6" s="45" t="s">
        <v>108</v>
      </c>
      <c r="F6" s="46">
        <v>100</v>
      </c>
    </row>
    <row r="7" spans="3:13" x14ac:dyDescent="0.25">
      <c r="C7" s="43">
        <v>5</v>
      </c>
      <c r="D7" s="44" t="s">
        <v>59</v>
      </c>
      <c r="E7" s="45" t="s">
        <v>109</v>
      </c>
      <c r="F7" s="46">
        <v>45</v>
      </c>
    </row>
    <row r="8" spans="3:13" ht="15.75" thickBot="1" x14ac:dyDescent="0.3">
      <c r="C8" s="47">
        <v>6</v>
      </c>
      <c r="D8" s="48" t="s">
        <v>47</v>
      </c>
      <c r="E8" s="48" t="s">
        <v>109</v>
      </c>
      <c r="F8" s="49">
        <v>80</v>
      </c>
    </row>
    <row r="18" spans="3:13" ht="30" customHeight="1" thickBot="1" x14ac:dyDescent="0.3">
      <c r="C18" s="286" t="s">
        <v>139</v>
      </c>
      <c r="D18" s="286"/>
      <c r="E18" s="286"/>
      <c r="F18" s="286"/>
      <c r="G18" s="286"/>
      <c r="M18" s="59" t="s">
        <v>138</v>
      </c>
    </row>
    <row r="19" spans="3:13" ht="15.75" thickBot="1" x14ac:dyDescent="0.3">
      <c r="C19" s="68" t="s">
        <v>105</v>
      </c>
      <c r="D19" s="69" t="s">
        <v>124</v>
      </c>
      <c r="E19" s="69" t="s">
        <v>125</v>
      </c>
      <c r="F19" s="69" t="s">
        <v>126</v>
      </c>
      <c r="G19" s="69" t="s">
        <v>127</v>
      </c>
      <c r="H19" s="69" t="s">
        <v>128</v>
      </c>
      <c r="I19" s="69" t="s">
        <v>129</v>
      </c>
      <c r="J19" s="70" t="s">
        <v>110</v>
      </c>
      <c r="K19" s="67" t="s">
        <v>155</v>
      </c>
      <c r="M19" t="s">
        <v>118</v>
      </c>
    </row>
    <row r="20" spans="3:13" x14ac:dyDescent="0.25">
      <c r="C20" s="42" t="s">
        <v>131</v>
      </c>
      <c r="D20" s="58" t="s">
        <v>109</v>
      </c>
      <c r="E20" s="58">
        <v>20</v>
      </c>
      <c r="F20" s="58">
        <v>10</v>
      </c>
      <c r="G20" s="58">
        <v>55</v>
      </c>
      <c r="H20" s="58">
        <v>15</v>
      </c>
      <c r="I20" s="58">
        <v>20</v>
      </c>
      <c r="J20" s="71">
        <v>80</v>
      </c>
      <c r="K20" s="72">
        <v>45349</v>
      </c>
      <c r="M20" t="s">
        <v>119</v>
      </c>
    </row>
    <row r="21" spans="3:13" x14ac:dyDescent="0.25">
      <c r="C21" s="43" t="s">
        <v>132</v>
      </c>
      <c r="D21" s="45" t="s">
        <v>107</v>
      </c>
      <c r="E21" s="45">
        <v>95</v>
      </c>
      <c r="F21" s="45">
        <v>125</v>
      </c>
      <c r="G21" s="45">
        <v>79</v>
      </c>
      <c r="H21" s="45">
        <v>60</v>
      </c>
      <c r="I21" s="45">
        <v>100</v>
      </c>
      <c r="J21" s="65">
        <v>81</v>
      </c>
      <c r="K21" s="73">
        <v>45617</v>
      </c>
      <c r="M21" t="s">
        <v>120</v>
      </c>
    </row>
    <row r="22" spans="3:13" x14ac:dyDescent="0.25">
      <c r="C22" s="43" t="s">
        <v>133</v>
      </c>
      <c r="D22" s="45" t="s">
        <v>109</v>
      </c>
      <c r="E22" s="45">
        <v>130</v>
      </c>
      <c r="F22" s="45">
        <v>85</v>
      </c>
      <c r="G22" s="45">
        <v>80</v>
      </c>
      <c r="H22" s="45">
        <v>85</v>
      </c>
      <c r="I22" s="45">
        <v>95</v>
      </c>
      <c r="J22" s="65">
        <v>60</v>
      </c>
      <c r="K22" s="73">
        <v>45617</v>
      </c>
      <c r="M22" t="s">
        <v>121</v>
      </c>
    </row>
    <row r="23" spans="3:13" x14ac:dyDescent="0.25">
      <c r="C23" s="43" t="s">
        <v>134</v>
      </c>
      <c r="D23" s="45" t="s">
        <v>108</v>
      </c>
      <c r="E23" s="45">
        <v>48</v>
      </c>
      <c r="F23" s="45">
        <v>48</v>
      </c>
      <c r="G23" s="45">
        <v>48</v>
      </c>
      <c r="H23" s="45">
        <v>48</v>
      </c>
      <c r="I23" s="45">
        <v>48</v>
      </c>
      <c r="J23" s="65">
        <v>48</v>
      </c>
      <c r="K23" s="73">
        <v>45563</v>
      </c>
      <c r="M23" t="s">
        <v>122</v>
      </c>
    </row>
    <row r="24" spans="3:13" x14ac:dyDescent="0.25">
      <c r="C24" s="43" t="s">
        <v>135</v>
      </c>
      <c r="D24" s="45" t="s">
        <v>108</v>
      </c>
      <c r="E24" s="45">
        <v>55</v>
      </c>
      <c r="F24" s="45">
        <v>55</v>
      </c>
      <c r="G24" s="45">
        <v>50</v>
      </c>
      <c r="H24" s="45">
        <v>45</v>
      </c>
      <c r="I24" s="45">
        <v>65</v>
      </c>
      <c r="J24" s="65">
        <v>55</v>
      </c>
      <c r="K24" s="73">
        <v>45553</v>
      </c>
      <c r="M24" t="s">
        <v>123</v>
      </c>
    </row>
    <row r="25" spans="3:13" x14ac:dyDescent="0.25">
      <c r="C25" s="43" t="s">
        <v>136</v>
      </c>
      <c r="D25" s="45" t="s">
        <v>109</v>
      </c>
      <c r="E25" s="45">
        <v>130</v>
      </c>
      <c r="F25" s="45">
        <v>65</v>
      </c>
      <c r="G25" s="45">
        <v>60</v>
      </c>
      <c r="H25" s="45">
        <v>110</v>
      </c>
      <c r="I25" s="45">
        <v>95</v>
      </c>
      <c r="J25" s="65">
        <v>65</v>
      </c>
      <c r="K25" s="73">
        <v>45577</v>
      </c>
    </row>
    <row r="26" spans="3:13" ht="18" customHeight="1" thickBot="1" x14ac:dyDescent="0.3">
      <c r="C26" s="47" t="s">
        <v>137</v>
      </c>
      <c r="D26" s="48" t="s">
        <v>130</v>
      </c>
      <c r="E26" s="48">
        <v>65</v>
      </c>
      <c r="F26" s="48">
        <v>65</v>
      </c>
      <c r="G26" s="48">
        <v>60</v>
      </c>
      <c r="H26" s="48">
        <v>110</v>
      </c>
      <c r="I26" s="48">
        <v>95</v>
      </c>
      <c r="J26" s="66">
        <v>130</v>
      </c>
      <c r="K26" s="74">
        <v>45316</v>
      </c>
      <c r="L26" s="61"/>
      <c r="M26" s="64" t="s">
        <v>143</v>
      </c>
    </row>
    <row r="27" spans="3:13" ht="15.75" thickBot="1" x14ac:dyDescent="0.3">
      <c r="L27" s="61"/>
      <c r="M27" s="63" t="s">
        <v>144</v>
      </c>
    </row>
    <row r="28" spans="3:13" x14ac:dyDescent="0.25">
      <c r="L28" s="61">
        <v>1</v>
      </c>
      <c r="M28" t="s">
        <v>140</v>
      </c>
    </row>
    <row r="29" spans="3:13" x14ac:dyDescent="0.25">
      <c r="C29" s="60" t="s">
        <v>149</v>
      </c>
      <c r="D29" s="61">
        <v>55</v>
      </c>
      <c r="E29" s="62" t="s">
        <v>154</v>
      </c>
      <c r="L29" s="5">
        <v>2</v>
      </c>
      <c r="M29" t="s">
        <v>141</v>
      </c>
    </row>
    <row r="30" spans="3:13" x14ac:dyDescent="0.25">
      <c r="C30" s="60" t="s">
        <v>150</v>
      </c>
      <c r="D30" s="61">
        <v>50</v>
      </c>
      <c r="L30" s="61">
        <v>3</v>
      </c>
      <c r="M30" t="s">
        <v>145</v>
      </c>
    </row>
    <row r="31" spans="3:13" x14ac:dyDescent="0.25">
      <c r="C31" s="60" t="s">
        <v>151</v>
      </c>
      <c r="D31" s="61">
        <v>75</v>
      </c>
      <c r="L31" s="5">
        <v>4</v>
      </c>
      <c r="M31" t="s">
        <v>146</v>
      </c>
    </row>
    <row r="32" spans="3:13" x14ac:dyDescent="0.25">
      <c r="C32" s="60" t="s">
        <v>152</v>
      </c>
      <c r="D32" s="61" t="s">
        <v>153</v>
      </c>
      <c r="L32" s="5">
        <v>6</v>
      </c>
      <c r="M32" t="s">
        <v>142</v>
      </c>
    </row>
    <row r="33" spans="3:13" x14ac:dyDescent="0.25">
      <c r="C33" s="60"/>
      <c r="L33" s="61">
        <v>7</v>
      </c>
      <c r="M33" t="s">
        <v>147</v>
      </c>
    </row>
    <row r="34" spans="3:13" ht="15.75" thickBot="1" x14ac:dyDescent="0.3">
      <c r="C34" s="59" t="s">
        <v>158</v>
      </c>
      <c r="D34" s="287" t="s">
        <v>159</v>
      </c>
      <c r="E34" s="287"/>
      <c r="L34" s="5">
        <v>8</v>
      </c>
      <c r="M34" t="s">
        <v>148</v>
      </c>
    </row>
    <row r="35" spans="3:13" x14ac:dyDescent="0.25">
      <c r="C35" s="60" t="s">
        <v>156</v>
      </c>
      <c r="D35" s="72">
        <v>45349</v>
      </c>
    </row>
    <row r="36" spans="3:13" ht="15.75" thickBot="1" x14ac:dyDescent="0.3">
      <c r="C36" s="60" t="s">
        <v>157</v>
      </c>
      <c r="D36" s="74">
        <v>45316</v>
      </c>
    </row>
    <row r="39" spans="3:13" ht="23.25" customHeight="1" thickBot="1" x14ac:dyDescent="0.3">
      <c r="C39" s="286" t="s">
        <v>161</v>
      </c>
      <c r="D39" s="286"/>
      <c r="E39" s="286"/>
      <c r="F39" s="286"/>
      <c r="G39" s="286"/>
    </row>
    <row r="40" spans="3:13" ht="25.5" customHeight="1" thickBot="1" x14ac:dyDescent="0.3">
      <c r="C40" s="91" t="s">
        <v>105</v>
      </c>
      <c r="D40" s="92" t="s">
        <v>124</v>
      </c>
      <c r="E40" s="93" t="s">
        <v>199</v>
      </c>
      <c r="F40" s="94" t="s">
        <v>198</v>
      </c>
      <c r="G40" s="94" t="s">
        <v>200</v>
      </c>
      <c r="H40" s="95" t="s">
        <v>201</v>
      </c>
    </row>
    <row r="41" spans="3:13" x14ac:dyDescent="0.25">
      <c r="C41" s="80" t="s">
        <v>167</v>
      </c>
      <c r="D41" s="81" t="s">
        <v>107</v>
      </c>
      <c r="E41" s="83">
        <v>45</v>
      </c>
      <c r="F41" s="88">
        <v>70</v>
      </c>
      <c r="G41" s="88">
        <v>20</v>
      </c>
      <c r="H41" s="87">
        <v>80</v>
      </c>
      <c r="K41" s="290" t="s">
        <v>199</v>
      </c>
      <c r="L41" s="290"/>
    </row>
    <row r="42" spans="3:13" x14ac:dyDescent="0.25">
      <c r="C42" s="75" t="s">
        <v>168</v>
      </c>
      <c r="D42" s="1" t="s">
        <v>107</v>
      </c>
      <c r="E42" s="84">
        <v>60</v>
      </c>
      <c r="F42" s="89">
        <v>42</v>
      </c>
      <c r="G42" s="89">
        <v>35</v>
      </c>
      <c r="H42" s="85">
        <v>65</v>
      </c>
      <c r="K42" s="279" t="s">
        <v>195</v>
      </c>
      <c r="L42" s="279"/>
      <c r="M42" t="s">
        <v>120</v>
      </c>
    </row>
    <row r="43" spans="3:13" x14ac:dyDescent="0.25">
      <c r="C43" s="75" t="s">
        <v>169</v>
      </c>
      <c r="D43" s="1" t="s">
        <v>107</v>
      </c>
      <c r="E43" s="84">
        <v>80</v>
      </c>
      <c r="F43" s="89">
        <v>67</v>
      </c>
      <c r="G43" s="89">
        <v>45</v>
      </c>
      <c r="H43" s="85">
        <v>89</v>
      </c>
      <c r="K43" s="279" t="s">
        <v>194</v>
      </c>
      <c r="L43" s="279"/>
      <c r="M43" t="s">
        <v>118</v>
      </c>
    </row>
    <row r="44" spans="3:13" x14ac:dyDescent="0.25">
      <c r="C44" s="75" t="s">
        <v>170</v>
      </c>
      <c r="D44" s="1" t="s">
        <v>108</v>
      </c>
      <c r="E44" s="84">
        <v>65</v>
      </c>
      <c r="F44" s="89">
        <v>50</v>
      </c>
      <c r="G44" s="89">
        <v>90</v>
      </c>
      <c r="H44" s="85">
        <v>100</v>
      </c>
    </row>
    <row r="45" spans="3:13" x14ac:dyDescent="0.25">
      <c r="C45" s="75" t="s">
        <v>171</v>
      </c>
      <c r="D45" s="1" t="s">
        <v>108</v>
      </c>
      <c r="E45" s="84">
        <v>80</v>
      </c>
      <c r="F45" s="89">
        <v>75</v>
      </c>
      <c r="G45" s="89">
        <v>105</v>
      </c>
      <c r="H45" s="85">
        <v>45</v>
      </c>
      <c r="K45" s="290" t="s">
        <v>204</v>
      </c>
      <c r="L45" s="290"/>
      <c r="M45" t="s">
        <v>203</v>
      </c>
    </row>
    <row r="46" spans="3:13" x14ac:dyDescent="0.25">
      <c r="C46" s="75" t="s">
        <v>172</v>
      </c>
      <c r="D46" s="1" t="s">
        <v>108</v>
      </c>
      <c r="E46" s="84">
        <v>100</v>
      </c>
      <c r="F46" s="89">
        <v>100</v>
      </c>
      <c r="G46" s="89">
        <v>15</v>
      </c>
      <c r="H46" s="85">
        <v>67</v>
      </c>
      <c r="M46" t="s">
        <v>205</v>
      </c>
    </row>
    <row r="47" spans="3:13" x14ac:dyDescent="0.25">
      <c r="C47" s="75" t="s">
        <v>173</v>
      </c>
      <c r="D47" s="1" t="s">
        <v>109</v>
      </c>
      <c r="E47" s="84">
        <v>43</v>
      </c>
      <c r="F47" s="89">
        <v>0</v>
      </c>
      <c r="G47" s="89">
        <v>30</v>
      </c>
      <c r="H47" s="85">
        <v>80</v>
      </c>
    </row>
    <row r="48" spans="3:13" x14ac:dyDescent="0.25">
      <c r="C48" s="75" t="s">
        <v>174</v>
      </c>
      <c r="D48" s="1" t="s">
        <v>109</v>
      </c>
      <c r="E48" s="84">
        <v>58</v>
      </c>
      <c r="F48" s="89">
        <v>-40</v>
      </c>
      <c r="G48" s="89">
        <v>57</v>
      </c>
      <c r="H48" s="85">
        <v>65</v>
      </c>
    </row>
    <row r="49" spans="3:8" x14ac:dyDescent="0.25">
      <c r="C49" s="75" t="s">
        <v>175</v>
      </c>
      <c r="D49" s="1" t="s">
        <v>109</v>
      </c>
      <c r="E49" s="84">
        <v>78</v>
      </c>
      <c r="F49" s="89">
        <v>55</v>
      </c>
      <c r="G49" s="89">
        <v>35</v>
      </c>
      <c r="H49" s="85">
        <v>80</v>
      </c>
    </row>
    <row r="50" spans="3:8" x14ac:dyDescent="0.25">
      <c r="C50" s="75" t="s">
        <v>176</v>
      </c>
      <c r="D50" s="1" t="s">
        <v>162</v>
      </c>
      <c r="E50" s="84">
        <v>45</v>
      </c>
      <c r="F50" s="89">
        <v>30</v>
      </c>
      <c r="G50" s="89">
        <v>45</v>
      </c>
      <c r="H50" s="85">
        <v>98</v>
      </c>
    </row>
    <row r="51" spans="3:8" x14ac:dyDescent="0.25">
      <c r="C51" s="75" t="s">
        <v>177</v>
      </c>
      <c r="D51" s="1" t="s">
        <v>162</v>
      </c>
      <c r="E51" s="84">
        <v>30</v>
      </c>
      <c r="F51" s="89">
        <v>45</v>
      </c>
      <c r="G51" s="89">
        <v>90</v>
      </c>
      <c r="H51" s="85">
        <v>43</v>
      </c>
    </row>
    <row r="52" spans="3:8" x14ac:dyDescent="0.25">
      <c r="C52" s="75" t="s">
        <v>178</v>
      </c>
      <c r="D52" s="1" t="s">
        <v>162</v>
      </c>
      <c r="E52" s="84">
        <v>70</v>
      </c>
      <c r="F52" s="89">
        <v>56</v>
      </c>
      <c r="G52" s="89">
        <v>100</v>
      </c>
      <c r="H52" s="85">
        <v>58</v>
      </c>
    </row>
    <row r="53" spans="3:8" x14ac:dyDescent="0.25">
      <c r="C53" s="75" t="s">
        <v>179</v>
      </c>
      <c r="D53" s="1" t="s">
        <v>162</v>
      </c>
      <c r="E53" s="84">
        <v>50</v>
      </c>
      <c r="F53" s="89">
        <v>65</v>
      </c>
      <c r="G53" s="89">
        <v>33</v>
      </c>
      <c r="H53" s="85">
        <v>-10</v>
      </c>
    </row>
    <row r="54" spans="3:8" x14ac:dyDescent="0.25">
      <c r="C54" s="75" t="s">
        <v>180</v>
      </c>
      <c r="D54" s="1" t="s">
        <v>162</v>
      </c>
      <c r="E54" s="84">
        <v>35</v>
      </c>
      <c r="F54" s="89">
        <v>85</v>
      </c>
      <c r="G54" s="89">
        <v>30</v>
      </c>
      <c r="H54" s="85">
        <v>78</v>
      </c>
    </row>
    <row r="55" spans="3:8" x14ac:dyDescent="0.25">
      <c r="C55" s="75" t="s">
        <v>181</v>
      </c>
      <c r="D55" s="1" t="s">
        <v>163</v>
      </c>
      <c r="E55" s="84">
        <v>72</v>
      </c>
      <c r="F55" s="89">
        <v>90</v>
      </c>
      <c r="G55" s="89">
        <v>-25</v>
      </c>
      <c r="H55" s="85">
        <v>38</v>
      </c>
    </row>
    <row r="56" spans="3:8" x14ac:dyDescent="0.25">
      <c r="C56" s="75" t="s">
        <v>182</v>
      </c>
      <c r="D56" s="1" t="s">
        <v>163</v>
      </c>
      <c r="E56" s="84">
        <v>97</v>
      </c>
      <c r="F56" s="89">
        <v>99</v>
      </c>
      <c r="G56" s="89">
        <v>55</v>
      </c>
      <c r="H56" s="85">
        <v>69</v>
      </c>
    </row>
    <row r="57" spans="3:8" x14ac:dyDescent="0.25">
      <c r="C57" s="75" t="s">
        <v>183</v>
      </c>
      <c r="D57" s="1" t="s">
        <v>163</v>
      </c>
      <c r="E57" s="84">
        <v>70</v>
      </c>
      <c r="F57" s="89">
        <v>35</v>
      </c>
      <c r="G57" s="89">
        <v>63</v>
      </c>
      <c r="H57" s="85">
        <v>54</v>
      </c>
    </row>
    <row r="58" spans="3:8" x14ac:dyDescent="0.25">
      <c r="C58" s="75" t="s">
        <v>184</v>
      </c>
      <c r="D58" s="1" t="s">
        <v>163</v>
      </c>
      <c r="E58" s="84">
        <v>100</v>
      </c>
      <c r="F58" s="89">
        <v>57</v>
      </c>
      <c r="G58" s="89">
        <v>87</v>
      </c>
      <c r="H58" s="85">
        <v>0</v>
      </c>
    </row>
    <row r="59" spans="3:8" ht="15.75" thickBot="1" x14ac:dyDescent="0.3">
      <c r="C59" s="75" t="s">
        <v>185</v>
      </c>
      <c r="D59" s="1" t="s">
        <v>164</v>
      </c>
      <c r="E59" s="84">
        <v>55</v>
      </c>
      <c r="F59" s="90">
        <v>23</v>
      </c>
      <c r="G59" s="90">
        <v>0</v>
      </c>
      <c r="H59" s="86">
        <v>48</v>
      </c>
    </row>
    <row r="60" spans="3:8" x14ac:dyDescent="0.25">
      <c r="C60" s="75" t="s">
        <v>186</v>
      </c>
      <c r="D60" s="1" t="s">
        <v>164</v>
      </c>
      <c r="E60" s="76">
        <v>80</v>
      </c>
    </row>
    <row r="61" spans="3:8" x14ac:dyDescent="0.25">
      <c r="C61" s="75" t="s">
        <v>187</v>
      </c>
      <c r="D61" s="1" t="s">
        <v>130</v>
      </c>
      <c r="E61" s="76">
        <v>90</v>
      </c>
    </row>
    <row r="62" spans="3:8" x14ac:dyDescent="0.25">
      <c r="C62" s="75" t="s">
        <v>188</v>
      </c>
      <c r="D62" s="1" t="s">
        <v>130</v>
      </c>
      <c r="E62" s="76">
        <v>110</v>
      </c>
    </row>
    <row r="63" spans="3:8" x14ac:dyDescent="0.25">
      <c r="C63" s="75" t="s">
        <v>189</v>
      </c>
      <c r="D63" s="1" t="s">
        <v>165</v>
      </c>
      <c r="E63" s="76">
        <v>40</v>
      </c>
    </row>
    <row r="64" spans="3:8" x14ac:dyDescent="0.25">
      <c r="C64" s="75" t="s">
        <v>190</v>
      </c>
      <c r="D64" s="1" t="s">
        <v>165</v>
      </c>
      <c r="E64" s="76">
        <v>65</v>
      </c>
    </row>
    <row r="65" spans="1:7" x14ac:dyDescent="0.25">
      <c r="C65" s="75" t="s">
        <v>191</v>
      </c>
      <c r="D65" s="1" t="s">
        <v>164</v>
      </c>
      <c r="E65" s="76">
        <v>41</v>
      </c>
    </row>
    <row r="66" spans="1:7" ht="15.75" thickBot="1" x14ac:dyDescent="0.3">
      <c r="C66" s="77" t="s">
        <v>192</v>
      </c>
      <c r="D66" s="78" t="s">
        <v>164</v>
      </c>
      <c r="E66" s="79">
        <v>56</v>
      </c>
    </row>
    <row r="67" spans="1:7" ht="15.75" thickBot="1" x14ac:dyDescent="0.3">
      <c r="C67" s="288" t="s">
        <v>196</v>
      </c>
      <c r="D67" s="289"/>
      <c r="E67" s="82">
        <f>AVERAGE(E41:E66)</f>
        <v>65.961538461538467</v>
      </c>
    </row>
    <row r="71" spans="1:7" ht="15.75" thickBot="1" x14ac:dyDescent="0.3">
      <c r="C71" t="s">
        <v>166</v>
      </c>
    </row>
    <row r="72" spans="1:7" ht="21.75" customHeight="1" thickBot="1" x14ac:dyDescent="0.3">
      <c r="A72" s="104" t="s">
        <v>237</v>
      </c>
      <c r="C72" s="91" t="s">
        <v>39</v>
      </c>
      <c r="D72" s="92" t="s">
        <v>219</v>
      </c>
      <c r="E72" s="92" t="s">
        <v>220</v>
      </c>
      <c r="F72" s="92" t="s">
        <v>221</v>
      </c>
      <c r="G72" s="103" t="s">
        <v>235</v>
      </c>
    </row>
    <row r="73" spans="1:7" x14ac:dyDescent="0.25">
      <c r="A73" s="97" t="s">
        <v>231</v>
      </c>
      <c r="C73" s="80" t="s">
        <v>222</v>
      </c>
      <c r="D73" s="81">
        <v>200</v>
      </c>
      <c r="E73" s="100">
        <f>D73*F73</f>
        <v>200</v>
      </c>
      <c r="F73" s="81">
        <v>1</v>
      </c>
      <c r="G73" s="96"/>
    </row>
    <row r="74" spans="1:7" x14ac:dyDescent="0.25">
      <c r="A74" s="98" t="s">
        <v>232</v>
      </c>
      <c r="C74" s="75" t="s">
        <v>223</v>
      </c>
      <c r="D74" s="1">
        <v>600</v>
      </c>
      <c r="E74" s="100">
        <f t="shared" ref="E74:E79" si="0">D74*F74</f>
        <v>1200</v>
      </c>
      <c r="F74" s="1">
        <v>2</v>
      </c>
      <c r="G74" s="76"/>
    </row>
    <row r="75" spans="1:7" x14ac:dyDescent="0.25">
      <c r="A75" s="98" t="s">
        <v>233</v>
      </c>
      <c r="C75" s="75" t="s">
        <v>224</v>
      </c>
      <c r="D75" s="1">
        <v>1200</v>
      </c>
      <c r="E75" s="100">
        <f t="shared" si="0"/>
        <v>4800</v>
      </c>
      <c r="F75" s="1">
        <v>4</v>
      </c>
      <c r="G75" s="76"/>
    </row>
    <row r="76" spans="1:7" ht="15.75" thickBot="1" x14ac:dyDescent="0.3">
      <c r="A76" s="99" t="s">
        <v>234</v>
      </c>
      <c r="C76" s="75" t="s">
        <v>225</v>
      </c>
      <c r="D76" s="1">
        <v>300</v>
      </c>
      <c r="E76" s="100">
        <f t="shared" si="0"/>
        <v>300</v>
      </c>
      <c r="F76" s="1">
        <v>1</v>
      </c>
      <c r="G76" s="76"/>
    </row>
    <row r="77" spans="1:7" x14ac:dyDescent="0.25">
      <c r="C77" s="75" t="s">
        <v>226</v>
      </c>
      <c r="D77" s="1">
        <v>700</v>
      </c>
      <c r="E77" s="100">
        <f t="shared" si="0"/>
        <v>700</v>
      </c>
      <c r="F77" s="1">
        <v>1</v>
      </c>
      <c r="G77" s="76"/>
    </row>
    <row r="78" spans="1:7" x14ac:dyDescent="0.25">
      <c r="C78" s="75" t="s">
        <v>227</v>
      </c>
      <c r="D78" s="1">
        <v>1200</v>
      </c>
      <c r="E78" s="100">
        <f t="shared" si="0"/>
        <v>1200</v>
      </c>
      <c r="F78" s="1">
        <v>1</v>
      </c>
      <c r="G78" s="76"/>
    </row>
    <row r="79" spans="1:7" x14ac:dyDescent="0.25">
      <c r="C79" s="75" t="s">
        <v>228</v>
      </c>
      <c r="D79" s="1">
        <v>100</v>
      </c>
      <c r="E79" s="100">
        <f t="shared" si="0"/>
        <v>100</v>
      </c>
      <c r="F79" s="1">
        <v>1</v>
      </c>
      <c r="G79" s="76"/>
    </row>
    <row r="80" spans="1:7" ht="15.75" thickBot="1" x14ac:dyDescent="0.3">
      <c r="C80" s="107"/>
      <c r="D80" s="108"/>
      <c r="E80" s="1"/>
      <c r="F80" s="1"/>
      <c r="G80" s="76"/>
    </row>
    <row r="81" spans="3:7" x14ac:dyDescent="0.25">
      <c r="C81" s="109" t="s">
        <v>229</v>
      </c>
      <c r="D81" s="110">
        <f>SUM(E73:E79)</f>
        <v>8500</v>
      </c>
      <c r="E81" s="105"/>
      <c r="F81" s="1"/>
      <c r="G81" s="76"/>
    </row>
    <row r="82" spans="3:7" x14ac:dyDescent="0.25">
      <c r="C82" s="101" t="s">
        <v>230</v>
      </c>
      <c r="D82" s="111">
        <f>(G83/100)*D81</f>
        <v>850</v>
      </c>
      <c r="E82" s="105"/>
      <c r="F82" s="1"/>
      <c r="G82" s="76"/>
    </row>
    <row r="83" spans="3:7" x14ac:dyDescent="0.25">
      <c r="C83" s="75"/>
      <c r="D83" s="76"/>
      <c r="E83" s="105"/>
      <c r="F83" s="1" t="s">
        <v>230</v>
      </c>
      <c r="G83" s="76">
        <v>10</v>
      </c>
    </row>
    <row r="84" spans="3:7" ht="15.75" thickBot="1" x14ac:dyDescent="0.3">
      <c r="C84" s="102" t="s">
        <v>34</v>
      </c>
      <c r="D84" s="112">
        <f>SUM(D81-D82)</f>
        <v>7650</v>
      </c>
      <c r="E84" s="106"/>
      <c r="F84" s="78"/>
      <c r="G84" s="79"/>
    </row>
  </sheetData>
  <mergeCells count="9">
    <mergeCell ref="K41:L41"/>
    <mergeCell ref="K42:L42"/>
    <mergeCell ref="K43:L43"/>
    <mergeCell ref="K45:L45"/>
    <mergeCell ref="C1:G1"/>
    <mergeCell ref="C18:G18"/>
    <mergeCell ref="D34:E34"/>
    <mergeCell ref="C39:G39"/>
    <mergeCell ref="C67:D67"/>
  </mergeCells>
  <conditionalFormatting sqref="F3:F8">
    <cfRule type="colorScale" priority="40">
      <colorScale>
        <cfvo type="min"/>
        <cfvo type="percentile" val="50"/>
        <cfvo type="max"/>
        <color rgb="FFF8696B"/>
        <color rgb="FFFFEB84"/>
        <color rgb="FF63BE7B"/>
      </colorScale>
    </cfRule>
  </conditionalFormatting>
  <conditionalFormatting sqref="M19">
    <cfRule type="containsText" dxfId="24" priority="39" operator="containsText" text="Light Red Fill with Dark Red Text">
      <formula>NOT(ISERROR(SEARCH("Light Red Fill with Dark Red Text",M19)))</formula>
    </cfRule>
  </conditionalFormatting>
  <conditionalFormatting sqref="M20">
    <cfRule type="containsText" dxfId="23" priority="38" operator="containsText" text="Yellow Fill with Dark Yellow Text">
      <formula>NOT(ISERROR(SEARCH("Yellow Fill with Dark Yellow Text",M20)))</formula>
    </cfRule>
  </conditionalFormatting>
  <conditionalFormatting sqref="M21">
    <cfRule type="containsText" dxfId="22" priority="37" operator="containsText" text="Green Fill with Dark Green Text">
      <formula>NOT(ISERROR(SEARCH("Green Fill with Dark Green Text",M21)))</formula>
    </cfRule>
  </conditionalFormatting>
  <conditionalFormatting sqref="M22">
    <cfRule type="containsText" dxfId="21" priority="36" operator="containsText" text="Light Red Fill">
      <formula>NOT(ISERROR(SEARCH("Light Red Fill",M22)))</formula>
    </cfRule>
  </conditionalFormatting>
  <conditionalFormatting sqref="M23">
    <cfRule type="containsText" dxfId="20" priority="35" operator="containsText" text="Red Text">
      <formula>NOT(ISERROR(SEARCH("Red Text",M23)))</formula>
    </cfRule>
  </conditionalFormatting>
  <conditionalFormatting sqref="M24">
    <cfRule type="containsText" dxfId="19" priority="34" operator="containsText" text="Red Border">
      <formula>NOT(ISERROR(SEARCH("Red Border",M24)))</formula>
    </cfRule>
  </conditionalFormatting>
  <conditionalFormatting sqref="E20:J26">
    <cfRule type="cellIs" dxfId="18" priority="1" operator="between">
      <formula>60</formula>
      <formula>75</formula>
    </cfRule>
    <cfRule type="cellIs" dxfId="17" priority="23" operator="greaterThan">
      <formula>75</formula>
    </cfRule>
    <cfRule type="cellIs" dxfId="16" priority="24" operator="lessThan">
      <formula>51</formula>
    </cfRule>
    <cfRule type="cellIs" dxfId="15" priority="25" operator="equal">
      <formula>55</formula>
    </cfRule>
  </conditionalFormatting>
  <conditionalFormatting sqref="D20:D26">
    <cfRule type="cellIs" dxfId="14" priority="20" operator="equal">
      <formula>"water"</formula>
    </cfRule>
  </conditionalFormatting>
  <conditionalFormatting sqref="D29">
    <cfRule type="containsText" dxfId="13" priority="19" operator="containsText" text="55">
      <formula>NOT(ISERROR(SEARCH("55",D29)))</formula>
    </cfRule>
  </conditionalFormatting>
  <conditionalFormatting sqref="D30">
    <cfRule type="containsText" dxfId="12" priority="18" operator="containsText" text="50">
      <formula>NOT(ISERROR(SEARCH("50",D30)))</formula>
    </cfRule>
  </conditionalFormatting>
  <conditionalFormatting sqref="D31">
    <cfRule type="containsText" dxfId="11" priority="17" operator="containsText" text="75">
      <formula>NOT(ISERROR(SEARCH("75",D31)))</formula>
    </cfRule>
  </conditionalFormatting>
  <conditionalFormatting sqref="D32">
    <cfRule type="containsText" dxfId="10" priority="16" operator="containsText" text="60-75">
      <formula>NOT(ISERROR(SEARCH("60-75",D32)))</formula>
    </cfRule>
  </conditionalFormatting>
  <conditionalFormatting sqref="K20:K26">
    <cfRule type="timePeriod" dxfId="9" priority="14" timePeriod="nextMonth">
      <formula>AND(MONTH(K20)=MONTH(EDATE(TODAY(),0+1)),YEAR(K20)=YEAR(EDATE(TODAY(),0+1)))</formula>
    </cfRule>
    <cfRule type="timePeriod" dxfId="8" priority="15" timePeriod="lastWeek">
      <formula>AND(TODAY()-ROUNDDOWN(K20,0)&gt;=(WEEKDAY(TODAY())),TODAY()-ROUNDDOWN(K20,0)&lt;(WEEKDAY(TODAY())+7))</formula>
    </cfRule>
  </conditionalFormatting>
  <conditionalFormatting sqref="D35">
    <cfRule type="timePeriod" dxfId="7" priority="12" timePeriod="nextMonth">
      <formula>AND(MONTH(D35)=MONTH(EDATE(TODAY(),0+1)),YEAR(D35)=YEAR(EDATE(TODAY(),0+1)))</formula>
    </cfRule>
    <cfRule type="timePeriod" dxfId="6" priority="13" timePeriod="lastWeek">
      <formula>AND(TODAY()-ROUNDDOWN(D35,0)&gt;=(WEEKDAY(TODAY())),TODAY()-ROUNDDOWN(D35,0)&lt;(WEEKDAY(TODAY())+7))</formula>
    </cfRule>
  </conditionalFormatting>
  <conditionalFormatting sqref="D36">
    <cfRule type="timePeriod" dxfId="5" priority="10" timePeriod="nextMonth">
      <formula>AND(MONTH(D36)=MONTH(EDATE(TODAY(),0+1)),YEAR(D36)=YEAR(EDATE(TODAY(),0+1)))</formula>
    </cfRule>
    <cfRule type="timePeriod" dxfId="4" priority="11" timePeriod="lastWeek">
      <formula>AND(TODAY()-ROUNDDOWN(D36,0)&gt;=(WEEKDAY(TODAY())),TODAY()-ROUNDDOWN(D36,0)&lt;(WEEKDAY(TODAY())+7))</formula>
    </cfRule>
  </conditionalFormatting>
  <conditionalFormatting sqref="E41:E66">
    <cfRule type="aboveAverage" dxfId="3" priority="7" aboveAverage="0"/>
    <cfRule type="aboveAverage" dxfId="2" priority="9"/>
  </conditionalFormatting>
  <conditionalFormatting sqref="M42">
    <cfRule type="containsText" dxfId="1" priority="8" operator="containsText" text="Green Fill with Dark Green Text">
      <formula>NOT(ISERROR(SEARCH("Green Fill with Dark Green Text",M42)))</formula>
    </cfRule>
  </conditionalFormatting>
  <conditionalFormatting sqref="M43">
    <cfRule type="containsText" dxfId="0" priority="6" operator="containsText" text="Light Red Fill with Dark Red Text">
      <formula>NOT(ISERROR(SEARCH("Light Red Fill with Dark Red Text",M43)))</formula>
    </cfRule>
  </conditionalFormatting>
  <conditionalFormatting sqref="F41:F59">
    <cfRule type="dataBar" priority="5">
      <dataBar>
        <cfvo type="min"/>
        <cfvo type="max"/>
        <color rgb="FF008AEF"/>
      </dataBar>
      <extLst>
        <ext xmlns:x14="http://schemas.microsoft.com/office/spreadsheetml/2009/9/main" uri="{B025F937-C7B1-47D3-B67F-A62EFF666E3E}">
          <x14:id>{6533F37F-B052-40BF-A693-6E0899409744}</x14:id>
        </ext>
      </extLst>
    </cfRule>
  </conditionalFormatting>
  <conditionalFormatting sqref="G41:G59">
    <cfRule type="colorScale" priority="4">
      <colorScale>
        <cfvo type="min"/>
        <cfvo type="percentile" val="50"/>
        <cfvo type="max"/>
        <color rgb="FFF8696B"/>
        <color rgb="FFFCFCFF"/>
        <color rgb="FF63BE7B"/>
      </colorScale>
    </cfRule>
  </conditionalFormatting>
  <conditionalFormatting sqref="H41:H59">
    <cfRule type="iconSet" priority="2">
      <iconSet>
        <cfvo type="percent" val="0"/>
        <cfvo type="percent" val="33"/>
        <cfvo type="percent" val="67"/>
      </iconSet>
    </cfRule>
  </conditionalFormatting>
  <pageMargins left="0.7" right="0.7" top="0.75" bottom="0.75" header="0.3" footer="0.3"/>
  <pageSetup orientation="portrait" horizontalDpi="90" verticalDpi="90" r:id="rId1"/>
  <drawing r:id="rId2"/>
  <extLst>
    <ext xmlns:x14="http://schemas.microsoft.com/office/spreadsheetml/2009/9/main" uri="{78C0D931-6437-407d-A8EE-F0AAD7539E65}">
      <x14:conditionalFormattings>
        <x14:conditionalFormatting xmlns:xm="http://schemas.microsoft.com/office/excel/2006/main">
          <x14:cfRule type="dataBar" id="{6533F37F-B052-40BF-A693-6E0899409744}">
            <x14:dataBar minLength="0" maxLength="100" border="1" negativeBarBorderColorSameAsPositive="0">
              <x14:cfvo type="autoMin"/>
              <x14:cfvo type="autoMax"/>
              <x14:borderColor rgb="FF008AEF"/>
              <x14:negativeFillColor rgb="FFFF0000"/>
              <x14:negativeBorderColor rgb="FFFF0000"/>
              <x14:axisColor rgb="FF000000"/>
            </x14:dataBar>
          </x14:cfRule>
          <xm:sqref>F41:F59</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7CAC2-8A10-49D5-AA43-FEB326CE549C}">
  <sheetPr>
    <tabColor rgb="FF7030A0"/>
  </sheetPr>
  <dimension ref="A1:O118"/>
  <sheetViews>
    <sheetView topLeftCell="A100" zoomScale="115" zoomScaleNormal="115" workbookViewId="0">
      <selection activeCell="A113" sqref="A113"/>
    </sheetView>
  </sheetViews>
  <sheetFormatPr defaultRowHeight="15" x14ac:dyDescent="0.25"/>
  <cols>
    <col min="1" max="1" width="14.5703125" bestFit="1" customWidth="1"/>
    <col min="2" max="2" width="13" customWidth="1"/>
    <col min="3" max="3" width="16.85546875" customWidth="1"/>
    <col min="4" max="4" width="38.5703125" bestFit="1" customWidth="1"/>
    <col min="5" max="5" width="44.140625" customWidth="1"/>
    <col min="6" max="6" width="27.28515625" customWidth="1"/>
    <col min="7" max="7" width="13.85546875" customWidth="1"/>
    <col min="8" max="8" width="8.7109375" bestFit="1" customWidth="1"/>
    <col min="9" max="9" width="8.5703125" customWidth="1"/>
    <col min="10" max="10" width="7.7109375" customWidth="1"/>
    <col min="11" max="11" width="12.7109375" bestFit="1" customWidth="1"/>
    <col min="12" max="12" width="36.28515625" bestFit="1" customWidth="1"/>
    <col min="13" max="13" width="29" customWidth="1"/>
  </cols>
  <sheetData>
    <row r="1" spans="1:12" ht="20.25" customHeight="1" thickBot="1" x14ac:dyDescent="0.3">
      <c r="A1" s="300" t="s">
        <v>257</v>
      </c>
      <c r="B1" s="301"/>
      <c r="C1" s="302"/>
      <c r="D1" s="118" t="s">
        <v>253</v>
      </c>
      <c r="E1" s="118" t="s">
        <v>255</v>
      </c>
      <c r="F1" s="135" t="s">
        <v>384</v>
      </c>
      <c r="L1" s="135" t="s">
        <v>261</v>
      </c>
    </row>
    <row r="2" spans="1:12" ht="15.75" thickBot="1" x14ac:dyDescent="0.3">
      <c r="D2" s="120" t="s">
        <v>254</v>
      </c>
      <c r="E2" s="223" t="s">
        <v>256</v>
      </c>
      <c r="F2" s="235" t="s">
        <v>386</v>
      </c>
      <c r="L2" s="136" t="s">
        <v>271</v>
      </c>
    </row>
    <row r="3" spans="1:12" ht="15.75" thickBot="1" x14ac:dyDescent="0.3">
      <c r="A3" s="54" t="s">
        <v>238</v>
      </c>
      <c r="B3" s="115" t="s">
        <v>249</v>
      </c>
      <c r="C3" s="119" t="s">
        <v>110</v>
      </c>
      <c r="D3" s="121" t="s">
        <v>239</v>
      </c>
      <c r="E3" s="224" t="s">
        <v>252</v>
      </c>
      <c r="F3" s="234" t="s">
        <v>387</v>
      </c>
      <c r="G3" s="228" t="s">
        <v>262</v>
      </c>
      <c r="H3" s="92" t="s">
        <v>222</v>
      </c>
      <c r="I3" s="92" t="s">
        <v>263</v>
      </c>
      <c r="J3" s="92" t="s">
        <v>382</v>
      </c>
      <c r="K3" s="103" t="s">
        <v>264</v>
      </c>
      <c r="L3" s="137" t="s">
        <v>273</v>
      </c>
    </row>
    <row r="4" spans="1:12" x14ac:dyDescent="0.25">
      <c r="A4" s="116" t="s">
        <v>240</v>
      </c>
      <c r="B4" s="58" t="s">
        <v>107</v>
      </c>
      <c r="C4" s="71">
        <v>45</v>
      </c>
      <c r="D4" s="122" t="b">
        <f>AND(B4="Fire",C4&gt;70)</f>
        <v>0</v>
      </c>
      <c r="E4" s="225" t="b">
        <f>OR(B4="Fire",C4&gt;70)</f>
        <v>0</v>
      </c>
      <c r="F4" s="236" t="b">
        <f>_xlfn.XOR(B4="Fire",C4&lt;=60)</f>
        <v>1</v>
      </c>
      <c r="G4" s="229" t="s">
        <v>265</v>
      </c>
      <c r="H4" s="141">
        <v>10</v>
      </c>
      <c r="I4" s="141">
        <v>4</v>
      </c>
      <c r="J4" s="141">
        <v>1</v>
      </c>
      <c r="K4" s="142">
        <v>1</v>
      </c>
      <c r="L4" s="143">
        <f>AVERAGE(H4:K4)</f>
        <v>4</v>
      </c>
    </row>
    <row r="5" spans="1:12" x14ac:dyDescent="0.25">
      <c r="A5" s="113" t="s">
        <v>241</v>
      </c>
      <c r="B5" s="45" t="s">
        <v>107</v>
      </c>
      <c r="C5" s="65">
        <v>60</v>
      </c>
      <c r="D5" s="123" t="b">
        <f t="shared" ref="D5:D12" si="0">AND(B5="Fire",C5&gt;70)</f>
        <v>0</v>
      </c>
      <c r="E5" s="226" t="b">
        <f t="shared" ref="E5:E12" si="1">OR(B5="Fire",C5&gt;70)</f>
        <v>0</v>
      </c>
      <c r="F5" s="237" t="b">
        <f t="shared" ref="F5:F12" si="2">_xlfn.XOR(B5="Fire",C5&lt;=60)</f>
        <v>1</v>
      </c>
      <c r="G5" s="230" t="s">
        <v>266</v>
      </c>
      <c r="H5" s="139">
        <v>12</v>
      </c>
      <c r="I5" s="139">
        <v>3</v>
      </c>
      <c r="J5" s="139">
        <v>4</v>
      </c>
      <c r="K5" s="140">
        <v>1</v>
      </c>
      <c r="L5" s="138">
        <f t="shared" ref="L5:L9" si="3">AVERAGE(H5:K5)</f>
        <v>5</v>
      </c>
    </row>
    <row r="6" spans="1:12" x14ac:dyDescent="0.25">
      <c r="A6" s="113" t="s">
        <v>242</v>
      </c>
      <c r="B6" s="45" t="s">
        <v>107</v>
      </c>
      <c r="C6" s="65">
        <v>80</v>
      </c>
      <c r="D6" s="123" t="b">
        <f t="shared" si="0"/>
        <v>0</v>
      </c>
      <c r="E6" s="226" t="b">
        <f t="shared" si="1"/>
        <v>1</v>
      </c>
      <c r="F6" s="237" t="b">
        <f t="shared" si="2"/>
        <v>0</v>
      </c>
      <c r="G6" s="230" t="s">
        <v>267</v>
      </c>
      <c r="H6" s="139">
        <v>15</v>
      </c>
      <c r="I6" s="139" t="s">
        <v>272</v>
      </c>
      <c r="J6" s="139">
        <v>2</v>
      </c>
      <c r="K6" s="140">
        <v>1</v>
      </c>
      <c r="L6" s="138">
        <f t="shared" si="3"/>
        <v>6</v>
      </c>
    </row>
    <row r="7" spans="1:12" x14ac:dyDescent="0.25">
      <c r="A7" s="113" t="s">
        <v>243</v>
      </c>
      <c r="B7" s="45" t="s">
        <v>108</v>
      </c>
      <c r="C7" s="65">
        <v>55</v>
      </c>
      <c r="D7" s="123" t="b">
        <f t="shared" si="0"/>
        <v>0</v>
      </c>
      <c r="E7" s="226" t="b">
        <f t="shared" si="1"/>
        <v>1</v>
      </c>
      <c r="F7" s="237" t="b">
        <f t="shared" si="2"/>
        <v>0</v>
      </c>
      <c r="G7" s="230" t="s">
        <v>268</v>
      </c>
      <c r="H7" s="139">
        <v>4</v>
      </c>
      <c r="I7" s="139">
        <v>2</v>
      </c>
      <c r="J7" s="139">
        <v>6</v>
      </c>
      <c r="K7" s="140">
        <v>0</v>
      </c>
      <c r="L7" s="138">
        <f t="shared" si="3"/>
        <v>3</v>
      </c>
    </row>
    <row r="8" spans="1:12" x14ac:dyDescent="0.25">
      <c r="A8" s="113" t="s">
        <v>244</v>
      </c>
      <c r="B8" s="45" t="s">
        <v>108</v>
      </c>
      <c r="C8" s="65">
        <v>80</v>
      </c>
      <c r="D8" s="123" t="b">
        <f t="shared" si="0"/>
        <v>1</v>
      </c>
      <c r="E8" s="226" t="b">
        <f t="shared" si="1"/>
        <v>1</v>
      </c>
      <c r="F8" s="237" t="b">
        <f t="shared" si="2"/>
        <v>1</v>
      </c>
      <c r="G8" s="230" t="s">
        <v>269</v>
      </c>
      <c r="H8" s="139">
        <v>10</v>
      </c>
      <c r="I8" s="139">
        <v>4</v>
      </c>
      <c r="J8" s="139">
        <v>1</v>
      </c>
      <c r="K8" s="140">
        <v>1</v>
      </c>
      <c r="L8" s="138">
        <f t="shared" si="3"/>
        <v>4</v>
      </c>
    </row>
    <row r="9" spans="1:12" ht="15.75" thickBot="1" x14ac:dyDescent="0.3">
      <c r="A9" s="113" t="s">
        <v>245</v>
      </c>
      <c r="B9" s="45" t="s">
        <v>108</v>
      </c>
      <c r="C9" s="65">
        <v>100</v>
      </c>
      <c r="D9" s="123" t="b">
        <f t="shared" si="0"/>
        <v>1</v>
      </c>
      <c r="E9" s="226" t="b">
        <f t="shared" si="1"/>
        <v>1</v>
      </c>
      <c r="F9" s="237" t="b">
        <f>_xlfn.XOR(B9="Fire",C9&lt;=60)</f>
        <v>1</v>
      </c>
      <c r="G9" s="231" t="s">
        <v>270</v>
      </c>
      <c r="H9" s="145">
        <v>9</v>
      </c>
      <c r="I9" s="145">
        <v>2</v>
      </c>
      <c r="J9" s="144">
        <v>1</v>
      </c>
      <c r="K9" s="149">
        <v>0</v>
      </c>
      <c r="L9" s="148">
        <f t="shared" si="3"/>
        <v>3</v>
      </c>
    </row>
    <row r="10" spans="1:12" ht="15.75" thickBot="1" x14ac:dyDescent="0.3">
      <c r="A10" s="113" t="s">
        <v>246</v>
      </c>
      <c r="B10" s="45" t="s">
        <v>109</v>
      </c>
      <c r="C10" s="65">
        <v>43</v>
      </c>
      <c r="D10" s="123" t="b">
        <f t="shared" si="0"/>
        <v>0</v>
      </c>
      <c r="E10" s="226" t="b">
        <f t="shared" si="1"/>
        <v>0</v>
      </c>
      <c r="F10" s="237" t="b">
        <f t="shared" si="2"/>
        <v>1</v>
      </c>
      <c r="G10" s="232" t="s">
        <v>238</v>
      </c>
      <c r="H10" s="146" t="s">
        <v>124</v>
      </c>
      <c r="I10" s="147" t="s">
        <v>110</v>
      </c>
      <c r="K10" s="150"/>
      <c r="L10" s="152" t="s">
        <v>274</v>
      </c>
    </row>
    <row r="11" spans="1:12" ht="15.75" thickBot="1" x14ac:dyDescent="0.3">
      <c r="A11" s="113" t="s">
        <v>247</v>
      </c>
      <c r="B11" s="45" t="s">
        <v>109</v>
      </c>
      <c r="C11" s="65">
        <v>70</v>
      </c>
      <c r="D11" s="123" t="b">
        <f t="shared" si="0"/>
        <v>0</v>
      </c>
      <c r="E11" s="226" t="b">
        <f t="shared" si="1"/>
        <v>0</v>
      </c>
      <c r="F11" s="237" t="b">
        <f t="shared" si="2"/>
        <v>0</v>
      </c>
      <c r="G11" s="233" t="s">
        <v>240</v>
      </c>
      <c r="H11" s="81" t="s">
        <v>107</v>
      </c>
      <c r="I11" s="211">
        <v>45</v>
      </c>
      <c r="K11" s="150" t="s">
        <v>275</v>
      </c>
      <c r="L11" s="153" t="s">
        <v>276</v>
      </c>
    </row>
    <row r="12" spans="1:12" ht="15.75" thickBot="1" x14ac:dyDescent="0.3">
      <c r="A12" s="114" t="s">
        <v>248</v>
      </c>
      <c r="B12" s="48" t="s">
        <v>109</v>
      </c>
      <c r="C12" s="66">
        <v>78</v>
      </c>
      <c r="D12" s="124" t="b">
        <f t="shared" si="0"/>
        <v>0</v>
      </c>
      <c r="E12" s="227" t="b">
        <f t="shared" si="1"/>
        <v>1</v>
      </c>
      <c r="F12" s="238" t="b">
        <f t="shared" si="2"/>
        <v>0</v>
      </c>
      <c r="G12" s="105" t="s">
        <v>241</v>
      </c>
      <c r="H12" s="1" t="s">
        <v>107</v>
      </c>
      <c r="I12" s="140">
        <v>60</v>
      </c>
      <c r="K12" s="151" t="s">
        <v>107</v>
      </c>
      <c r="L12" s="154">
        <f>AVERAGEIF(H$11:H$19, K12, I$11:I$19)</f>
        <v>61.666666666666664</v>
      </c>
    </row>
    <row r="13" spans="1:12" x14ac:dyDescent="0.25">
      <c r="A13" t="s">
        <v>166</v>
      </c>
      <c r="G13" s="75" t="s">
        <v>242</v>
      </c>
      <c r="H13" s="1" t="s">
        <v>107</v>
      </c>
      <c r="I13" s="140">
        <v>80</v>
      </c>
      <c r="K13" s="75" t="s">
        <v>108</v>
      </c>
      <c r="L13" s="154">
        <f t="shared" ref="L13:L14" si="4">AVERAGEIF(H$11:H$19, K13, I$11:I$19)</f>
        <v>81.666666666666671</v>
      </c>
    </row>
    <row r="14" spans="1:12" ht="15.75" thickBot="1" x14ac:dyDescent="0.3">
      <c r="G14" s="75" t="s">
        <v>243</v>
      </c>
      <c r="H14" s="1" t="s">
        <v>108</v>
      </c>
      <c r="I14" s="140">
        <v>65</v>
      </c>
      <c r="K14" s="77" t="s">
        <v>109</v>
      </c>
      <c r="L14" s="155">
        <f t="shared" si="4"/>
        <v>59.666666666666664</v>
      </c>
    </row>
    <row r="15" spans="1:12" ht="18.75" customHeight="1" thickBot="1" x14ac:dyDescent="0.3">
      <c r="A15" s="303" t="s">
        <v>259</v>
      </c>
      <c r="B15" s="303"/>
      <c r="C15" s="303"/>
      <c r="D15" s="303"/>
      <c r="E15" s="303"/>
      <c r="F15" s="303"/>
      <c r="G15" s="75" t="s">
        <v>244</v>
      </c>
      <c r="H15" s="1" t="s">
        <v>108</v>
      </c>
      <c r="I15" s="140">
        <v>80</v>
      </c>
    </row>
    <row r="16" spans="1:12" ht="20.25" customHeight="1" thickBot="1" x14ac:dyDescent="0.3">
      <c r="A16" s="125"/>
      <c r="B16" s="126"/>
      <c r="C16" s="126"/>
      <c r="D16" s="127" t="s">
        <v>258</v>
      </c>
      <c r="E16" s="159" t="s">
        <v>260</v>
      </c>
      <c r="G16" s="75" t="s">
        <v>245</v>
      </c>
      <c r="H16" s="1" t="s">
        <v>108</v>
      </c>
      <c r="I16" s="140">
        <v>100</v>
      </c>
    </row>
    <row r="17" spans="1:15" ht="15.75" thickBot="1" x14ac:dyDescent="0.3">
      <c r="A17" s="54" t="s">
        <v>238</v>
      </c>
      <c r="B17" s="115" t="s">
        <v>249</v>
      </c>
      <c r="C17" s="115" t="s">
        <v>110</v>
      </c>
      <c r="D17" s="117" t="s">
        <v>239</v>
      </c>
      <c r="E17" s="118" t="s">
        <v>252</v>
      </c>
      <c r="G17" s="75" t="s">
        <v>246</v>
      </c>
      <c r="H17" s="1" t="s">
        <v>109</v>
      </c>
      <c r="I17" s="140">
        <v>43</v>
      </c>
    </row>
    <row r="18" spans="1:15" x14ac:dyDescent="0.25">
      <c r="A18" s="130" t="s">
        <v>240</v>
      </c>
      <c r="B18" s="52" t="s">
        <v>107</v>
      </c>
      <c r="C18" s="52">
        <v>70</v>
      </c>
      <c r="D18" s="131" t="str">
        <f t="shared" ref="D18:D26" si="5">IF(AND(B18="Fire",C18&gt;=70),"Yes","No")</f>
        <v>No</v>
      </c>
      <c r="E18" s="132" t="str">
        <f>IF(OR(B18="Fire",C18&gt;=70),"Yes","No")</f>
        <v>Yes</v>
      </c>
      <c r="G18" s="75" t="s">
        <v>247</v>
      </c>
      <c r="H18" s="1" t="s">
        <v>109</v>
      </c>
      <c r="I18" s="140">
        <v>58</v>
      </c>
    </row>
    <row r="19" spans="1:15" ht="15.75" thickBot="1" x14ac:dyDescent="0.3">
      <c r="A19" s="113" t="s">
        <v>241</v>
      </c>
      <c r="B19" s="45" t="s">
        <v>107</v>
      </c>
      <c r="C19" s="45">
        <v>60</v>
      </c>
      <c r="D19" s="128" t="str">
        <f t="shared" si="5"/>
        <v>No</v>
      </c>
      <c r="E19" s="133" t="str">
        <f t="shared" ref="E19:E26" si="6">IF(OR(B19="Fire",C19&gt;=70),"Yes","No")</f>
        <v>No</v>
      </c>
      <c r="G19" s="77" t="s">
        <v>248</v>
      </c>
      <c r="H19" s="78" t="s">
        <v>109</v>
      </c>
      <c r="I19" s="210">
        <v>78</v>
      </c>
    </row>
    <row r="20" spans="1:15" x14ac:dyDescent="0.25">
      <c r="A20" s="113" t="s">
        <v>242</v>
      </c>
      <c r="B20" s="45" t="s">
        <v>107</v>
      </c>
      <c r="C20" s="45">
        <v>80</v>
      </c>
      <c r="D20" s="128" t="str">
        <f t="shared" si="5"/>
        <v>No</v>
      </c>
      <c r="E20" s="133" t="str">
        <f t="shared" si="6"/>
        <v>Yes</v>
      </c>
      <c r="G20" t="s">
        <v>166</v>
      </c>
    </row>
    <row r="21" spans="1:15" x14ac:dyDescent="0.25">
      <c r="A21" s="113" t="s">
        <v>243</v>
      </c>
      <c r="B21" s="45" t="s">
        <v>108</v>
      </c>
      <c r="C21" s="45">
        <v>65</v>
      </c>
      <c r="D21" s="128" t="str">
        <f t="shared" si="5"/>
        <v>No</v>
      </c>
      <c r="E21" s="133" t="str">
        <f t="shared" si="6"/>
        <v>Yes</v>
      </c>
    </row>
    <row r="22" spans="1:15" x14ac:dyDescent="0.25">
      <c r="A22" s="113" t="s">
        <v>244</v>
      </c>
      <c r="B22" s="45" t="s">
        <v>108</v>
      </c>
      <c r="C22" s="45">
        <v>80</v>
      </c>
      <c r="D22" s="128" t="str">
        <f t="shared" si="5"/>
        <v>Yes</v>
      </c>
      <c r="E22" s="133" t="str">
        <f t="shared" si="6"/>
        <v>Yes</v>
      </c>
    </row>
    <row r="23" spans="1:15" x14ac:dyDescent="0.25">
      <c r="A23" s="113" t="s">
        <v>245</v>
      </c>
      <c r="B23" s="45" t="s">
        <v>108</v>
      </c>
      <c r="C23" s="45">
        <v>100</v>
      </c>
      <c r="D23" s="128" t="str">
        <f t="shared" si="5"/>
        <v>Yes</v>
      </c>
      <c r="E23" s="133" t="str">
        <f t="shared" si="6"/>
        <v>Yes</v>
      </c>
    </row>
    <row r="24" spans="1:15" x14ac:dyDescent="0.25">
      <c r="A24" s="113" t="s">
        <v>246</v>
      </c>
      <c r="B24" s="45" t="s">
        <v>109</v>
      </c>
      <c r="C24" s="45">
        <v>43</v>
      </c>
      <c r="D24" s="128" t="str">
        <f t="shared" si="5"/>
        <v>No</v>
      </c>
      <c r="E24" s="133" t="str">
        <f t="shared" si="6"/>
        <v>No</v>
      </c>
    </row>
    <row r="25" spans="1:15" x14ac:dyDescent="0.25">
      <c r="A25" s="113" t="s">
        <v>247</v>
      </c>
      <c r="B25" s="45" t="s">
        <v>108</v>
      </c>
      <c r="C25" s="45">
        <v>70</v>
      </c>
      <c r="D25" s="128" t="str">
        <f t="shared" si="5"/>
        <v>Yes</v>
      </c>
      <c r="E25" s="133" t="str">
        <f t="shared" si="6"/>
        <v>Yes</v>
      </c>
    </row>
    <row r="26" spans="1:15" ht="15.75" thickBot="1" x14ac:dyDescent="0.3">
      <c r="A26" s="114" t="s">
        <v>248</v>
      </c>
      <c r="B26" s="48" t="s">
        <v>109</v>
      </c>
      <c r="C26" s="48">
        <v>78</v>
      </c>
      <c r="D26" s="129" t="str">
        <f t="shared" si="5"/>
        <v>No</v>
      </c>
      <c r="E26" s="134" t="str">
        <f t="shared" si="6"/>
        <v>Yes</v>
      </c>
    </row>
    <row r="29" spans="1:15" ht="15.75" thickBot="1" x14ac:dyDescent="0.3">
      <c r="D29" s="10"/>
    </row>
    <row r="30" spans="1:15" ht="15.75" thickBot="1" x14ac:dyDescent="0.3">
      <c r="A30" s="156" t="s">
        <v>238</v>
      </c>
      <c r="B30" s="157" t="s">
        <v>124</v>
      </c>
      <c r="C30" s="157" t="s">
        <v>277</v>
      </c>
      <c r="D30" s="158"/>
      <c r="E30" s="311" t="s">
        <v>330</v>
      </c>
      <c r="F30" s="312"/>
      <c r="G30" s="312"/>
      <c r="H30" s="312"/>
      <c r="I30" s="312"/>
      <c r="J30" s="312"/>
      <c r="K30" s="312"/>
      <c r="L30" s="312"/>
      <c r="M30" s="312"/>
      <c r="N30" s="312"/>
      <c r="O30" s="313"/>
    </row>
    <row r="31" spans="1:15" ht="15.75" thickBot="1" x14ac:dyDescent="0.3">
      <c r="A31" s="167" t="s">
        <v>297</v>
      </c>
      <c r="B31" s="27" t="s">
        <v>108</v>
      </c>
      <c r="C31" s="27">
        <v>305</v>
      </c>
      <c r="D31" s="28" t="str">
        <f>_xlfn.CONCAT(A31,", ",B31)</f>
        <v>Mankey, Fire</v>
      </c>
      <c r="E31" s="304" t="s">
        <v>329</v>
      </c>
      <c r="F31" s="305"/>
      <c r="G31" s="305"/>
      <c r="H31" s="305"/>
      <c r="I31" s="305"/>
      <c r="J31" s="305"/>
      <c r="K31" s="305"/>
      <c r="L31" s="305"/>
      <c r="M31" s="305"/>
      <c r="N31" s="305"/>
      <c r="O31" s="306"/>
    </row>
    <row r="32" spans="1:15" x14ac:dyDescent="0.25">
      <c r="A32" s="160" t="s">
        <v>278</v>
      </c>
      <c r="B32" t="s">
        <v>109</v>
      </c>
      <c r="C32">
        <v>510</v>
      </c>
      <c r="D32" s="161" t="str">
        <f t="shared" ref="D32:D50" si="7">_xlfn.CONCAT(A32,", ",B32)</f>
        <v xml:space="preserve">    Poliwrath, Water</v>
      </c>
      <c r="E32" s="167" t="str">
        <f>_xlfn.CONCAT(TRIM(A31),", ",TRIM(A32))</f>
        <v>Mankey, Poliwrath</v>
      </c>
      <c r="F32" s="27"/>
      <c r="G32" s="27"/>
      <c r="H32" s="27"/>
      <c r="I32" s="27"/>
      <c r="J32" s="27"/>
      <c r="K32" s="27"/>
      <c r="L32" s="27"/>
      <c r="M32" s="27"/>
      <c r="N32" s="27"/>
      <c r="O32" s="28"/>
    </row>
    <row r="33" spans="1:15" x14ac:dyDescent="0.25">
      <c r="A33" s="160" t="s">
        <v>279</v>
      </c>
      <c r="B33" t="s">
        <v>107</v>
      </c>
      <c r="C33">
        <v>490</v>
      </c>
      <c r="D33" s="161" t="str">
        <f t="shared" si="7"/>
        <v xml:space="preserve">    Victreebel, Grass</v>
      </c>
      <c r="E33" s="160" t="str">
        <f>_xlfn.CONCAT(E32,", ",TRIM(A33))</f>
        <v>Mankey, Poliwrath, Victreebel</v>
      </c>
      <c r="O33" s="161"/>
    </row>
    <row r="34" spans="1:15" x14ac:dyDescent="0.25">
      <c r="A34" s="160" t="s">
        <v>280</v>
      </c>
      <c r="B34" t="s">
        <v>109</v>
      </c>
      <c r="C34">
        <v>335</v>
      </c>
      <c r="D34" s="161" t="str">
        <f t="shared" si="7"/>
        <v xml:space="preserve">    Tentacool, Water</v>
      </c>
      <c r="E34" s="160" t="str">
        <f t="shared" ref="E34:E50" si="8">_xlfn.CONCAT(E33,", ",TRIM(A34))</f>
        <v>Mankey, Poliwrath, Victreebel, Tentacool</v>
      </c>
      <c r="O34" s="161"/>
    </row>
    <row r="35" spans="1:15" x14ac:dyDescent="0.25">
      <c r="A35" s="160" t="s">
        <v>281</v>
      </c>
      <c r="B35" t="s">
        <v>130</v>
      </c>
      <c r="C35">
        <v>465</v>
      </c>
      <c r="D35" s="161" t="str">
        <f t="shared" si="7"/>
        <v xml:space="preserve">    Magneton, Electric</v>
      </c>
      <c r="E35" s="160" t="str">
        <f t="shared" si="8"/>
        <v>Mankey, Poliwrath, Victreebel, Tentacool, Magneton</v>
      </c>
      <c r="O35" s="161"/>
    </row>
    <row r="36" spans="1:15" x14ac:dyDescent="0.25">
      <c r="A36" s="160" t="s">
        <v>282</v>
      </c>
      <c r="B36" t="s">
        <v>109</v>
      </c>
      <c r="C36">
        <v>475</v>
      </c>
      <c r="D36" s="161" t="str">
        <f t="shared" si="7"/>
        <v xml:space="preserve">    Dewgong, Water</v>
      </c>
      <c r="E36" s="160" t="str">
        <f t="shared" si="8"/>
        <v>Mankey, Poliwrath, Victreebel, Tentacool, Magneton, Dewgong</v>
      </c>
      <c r="O36" s="161"/>
    </row>
    <row r="37" spans="1:15" x14ac:dyDescent="0.25">
      <c r="A37" s="160" t="s">
        <v>283</v>
      </c>
      <c r="B37" t="s">
        <v>109</v>
      </c>
      <c r="C37">
        <v>525</v>
      </c>
      <c r="D37" s="161" t="str">
        <f t="shared" si="7"/>
        <v xml:space="preserve">    Cloyster, Water</v>
      </c>
      <c r="E37" s="160" t="str">
        <f t="shared" si="8"/>
        <v>Mankey, Poliwrath, Victreebel, Tentacool, Magneton, Dewgong, Cloyster</v>
      </c>
      <c r="O37" s="161"/>
    </row>
    <row r="38" spans="1:15" x14ac:dyDescent="0.25">
      <c r="A38" s="160" t="s">
        <v>284</v>
      </c>
      <c r="B38" t="s">
        <v>285</v>
      </c>
      <c r="C38">
        <v>385</v>
      </c>
      <c r="D38" s="161" t="str">
        <f t="shared" si="7"/>
        <v xml:space="preserve">    Onix, Rock</v>
      </c>
      <c r="E38" s="160" t="str">
        <f t="shared" si="8"/>
        <v>Mankey, Poliwrath, Victreebel, Tentacool, Magneton, Dewgong, Cloyster, Onix</v>
      </c>
      <c r="O38" s="161"/>
    </row>
    <row r="39" spans="1:15" x14ac:dyDescent="0.25">
      <c r="A39" s="160" t="s">
        <v>286</v>
      </c>
      <c r="B39" t="s">
        <v>107</v>
      </c>
      <c r="C39">
        <v>420</v>
      </c>
      <c r="D39" s="161" t="str">
        <f t="shared" si="7"/>
        <v xml:space="preserve">    Dragonair, Grass</v>
      </c>
      <c r="E39" s="160" t="str">
        <f t="shared" si="8"/>
        <v>Mankey, Poliwrath, Victreebel, Tentacool, Magneton, Dewgong, Cloyster, Onix, Dragonair</v>
      </c>
      <c r="O39" s="161"/>
    </row>
    <row r="40" spans="1:15" x14ac:dyDescent="0.25">
      <c r="A40" s="160" t="s">
        <v>287</v>
      </c>
      <c r="B40" t="s">
        <v>163</v>
      </c>
      <c r="C40">
        <v>349</v>
      </c>
      <c r="D40" s="161" t="str">
        <f t="shared" si="7"/>
        <v xml:space="preserve">    Pidgeotto, Normal</v>
      </c>
      <c r="E40" s="160" t="str">
        <f t="shared" si="8"/>
        <v>Mankey, Poliwrath, Victreebel, Tentacool, Magneton, Dewgong, Cloyster, Onix, Dragonair, Pidgeotto</v>
      </c>
      <c r="O40" s="161"/>
    </row>
    <row r="41" spans="1:15" x14ac:dyDescent="0.25">
      <c r="A41" s="160" t="s">
        <v>288</v>
      </c>
      <c r="B41" t="s">
        <v>163</v>
      </c>
      <c r="C41">
        <v>253</v>
      </c>
      <c r="D41" s="161" t="str">
        <f t="shared" si="7"/>
        <v xml:space="preserve">    Rattata, Normal</v>
      </c>
      <c r="E41" s="160" t="str">
        <f t="shared" si="8"/>
        <v>Mankey, Poliwrath, Victreebel, Tentacool, Magneton, Dewgong, Cloyster, Onix, Dragonair, Pidgeotto, Rattata</v>
      </c>
      <c r="O41" s="161"/>
    </row>
    <row r="42" spans="1:15" x14ac:dyDescent="0.25">
      <c r="A42" s="160" t="s">
        <v>289</v>
      </c>
      <c r="B42" t="s">
        <v>162</v>
      </c>
      <c r="C42">
        <v>395</v>
      </c>
      <c r="D42" s="161" t="str">
        <f t="shared" si="7"/>
        <v xml:space="preserve">    Beedrill, Bug</v>
      </c>
      <c r="E42" s="160" t="str">
        <f t="shared" si="8"/>
        <v>Mankey, Poliwrath, Victreebel, Tentacool, Magneton, Dewgong, Cloyster, Onix, Dragonair, Pidgeotto, Rattata, Beedrill</v>
      </c>
      <c r="O42" s="161"/>
    </row>
    <row r="43" spans="1:15" x14ac:dyDescent="0.25">
      <c r="A43" s="160" t="s">
        <v>290</v>
      </c>
      <c r="B43" t="s">
        <v>163</v>
      </c>
      <c r="C43">
        <v>310</v>
      </c>
      <c r="D43" s="161" t="str">
        <f t="shared" si="7"/>
        <v xml:space="preserve">    Doduo, Normal</v>
      </c>
      <c r="E43" s="160" t="str">
        <f t="shared" si="8"/>
        <v>Mankey, Poliwrath, Victreebel, Tentacool, Magneton, Dewgong, Cloyster, Onix, Dragonair, Pidgeotto, Rattata, Beedrill, Doduo</v>
      </c>
      <c r="O43" s="161"/>
    </row>
    <row r="44" spans="1:15" x14ac:dyDescent="0.25">
      <c r="A44" s="160" t="s">
        <v>291</v>
      </c>
      <c r="B44" t="s">
        <v>109</v>
      </c>
      <c r="C44">
        <v>475</v>
      </c>
      <c r="D44" s="161" t="str">
        <f t="shared" si="7"/>
        <v xml:space="preserve">    Kingler, Water</v>
      </c>
      <c r="E44" s="160" t="str">
        <f t="shared" si="8"/>
        <v>Mankey, Poliwrath, Victreebel, Tentacool, Magneton, Dewgong, Cloyster, Onix, Dragonair, Pidgeotto, Rattata, Beedrill, Doduo, Kingler</v>
      </c>
      <c r="O44" s="161"/>
    </row>
    <row r="45" spans="1:15" x14ac:dyDescent="0.25">
      <c r="A45" s="160" t="s">
        <v>292</v>
      </c>
      <c r="B45" t="s">
        <v>163</v>
      </c>
      <c r="C45">
        <v>505</v>
      </c>
      <c r="D45" s="161" t="str">
        <f t="shared" si="7"/>
        <v xml:space="preserve">    Nidoqueen, Normal</v>
      </c>
      <c r="E45" s="160" t="str">
        <f t="shared" si="8"/>
        <v>Mankey, Poliwrath, Victreebel, Tentacool, Magneton, Dewgong, Cloyster, Onix, Dragonair, Pidgeotto, Rattata, Beedrill, Doduo, Kingler, Nidoqueen</v>
      </c>
      <c r="O45" s="161"/>
    </row>
    <row r="46" spans="1:15" x14ac:dyDescent="0.25">
      <c r="A46" s="160" t="s">
        <v>293</v>
      </c>
      <c r="B46" t="s">
        <v>108</v>
      </c>
      <c r="C46">
        <v>455</v>
      </c>
      <c r="D46" s="161" t="str">
        <f t="shared" si="7"/>
        <v xml:space="preserve">    Hitmonchan, Fire</v>
      </c>
      <c r="E46" s="160" t="str">
        <f t="shared" si="8"/>
        <v>Mankey, Poliwrath, Victreebel, Tentacool, Magneton, Dewgong, Cloyster, Onix, Dragonair, Pidgeotto, Rattata, Beedrill, Doduo, Kingler, Nidoqueen, Hitmonchan</v>
      </c>
      <c r="O46" s="161"/>
    </row>
    <row r="47" spans="1:15" x14ac:dyDescent="0.25">
      <c r="A47" s="160" t="s">
        <v>244</v>
      </c>
      <c r="B47" t="s">
        <v>108</v>
      </c>
      <c r="C47">
        <v>405</v>
      </c>
      <c r="D47" s="161" t="str">
        <f t="shared" si="7"/>
        <v xml:space="preserve">    Charmeleon, Fire</v>
      </c>
      <c r="E47" s="160" t="str">
        <f t="shared" si="8"/>
        <v>Mankey, Poliwrath, Victreebel, Tentacool, Magneton, Dewgong, Cloyster, Onix, Dragonair, Pidgeotto, Rattata, Beedrill, Doduo, Kingler, Nidoqueen, Hitmonchan, Charmeleon</v>
      </c>
      <c r="O47" s="161"/>
    </row>
    <row r="48" spans="1:15" x14ac:dyDescent="0.25">
      <c r="A48" s="160" t="s">
        <v>294</v>
      </c>
      <c r="B48" t="s">
        <v>163</v>
      </c>
      <c r="C48">
        <v>438</v>
      </c>
      <c r="D48" s="161" t="str">
        <f t="shared" si="7"/>
        <v xml:space="preserve">    Arbok, Normal</v>
      </c>
      <c r="E48" s="160" t="str">
        <f t="shared" si="8"/>
        <v>Mankey, Poliwrath, Victreebel, Tentacool, Magneton, Dewgong, Cloyster, Onix, Dragonair, Pidgeotto, Rattata, Beedrill, Doduo, Kingler, Nidoqueen, Hitmonchan, Charmeleon, Arbok</v>
      </c>
      <c r="O48" s="161"/>
    </row>
    <row r="49" spans="1:15" x14ac:dyDescent="0.25">
      <c r="A49" s="160" t="s">
        <v>295</v>
      </c>
      <c r="B49" t="s">
        <v>162</v>
      </c>
      <c r="C49">
        <v>310</v>
      </c>
      <c r="D49" s="161" t="str">
        <f t="shared" si="7"/>
        <v xml:space="preserve">    Gastly, Bug</v>
      </c>
      <c r="E49" s="160" t="str">
        <f t="shared" si="8"/>
        <v>Mankey, Poliwrath, Victreebel, Tentacool, Magneton, Dewgong, Cloyster, Onix, Dragonair, Pidgeotto, Rattata, Beedrill, Doduo, Kingler, Nidoqueen, Hitmonchan, Charmeleon, Arbok, Gastly</v>
      </c>
      <c r="O49" s="161"/>
    </row>
    <row r="50" spans="1:15" ht="15.75" thickBot="1" x14ac:dyDescent="0.3">
      <c r="A50" s="162" t="s">
        <v>296</v>
      </c>
      <c r="B50" s="163" t="s">
        <v>109</v>
      </c>
      <c r="C50" s="163">
        <v>200</v>
      </c>
      <c r="D50" s="164" t="str">
        <f t="shared" si="7"/>
        <v xml:space="preserve">    Magikarp, Water</v>
      </c>
      <c r="E50" s="162" t="str">
        <f t="shared" si="8"/>
        <v>Mankey, Poliwrath, Victreebel, Tentacool, Magneton, Dewgong, Cloyster, Onix, Dragonair, Pidgeotto, Rattata, Beedrill, Doduo, Kingler, Nidoqueen, Hitmonchan, Charmeleon, Arbok, Gastly, Magikarp</v>
      </c>
      <c r="F50" s="163"/>
      <c r="G50" s="163"/>
      <c r="H50" s="163"/>
      <c r="I50" s="163"/>
      <c r="J50" s="163"/>
      <c r="K50" s="163"/>
      <c r="L50" s="163"/>
      <c r="M50" s="163"/>
      <c r="N50" s="163"/>
      <c r="O50" s="164"/>
    </row>
    <row r="51" spans="1:15" x14ac:dyDescent="0.25">
      <c r="A51" t="s">
        <v>166</v>
      </c>
    </row>
    <row r="52" spans="1:15" ht="15.75" thickBot="1" x14ac:dyDescent="0.3"/>
    <row r="53" spans="1:15" ht="15.75" thickBot="1" x14ac:dyDescent="0.3">
      <c r="A53" s="291" t="s">
        <v>331</v>
      </c>
      <c r="B53" s="292"/>
      <c r="C53" s="292"/>
      <c r="D53" s="293"/>
      <c r="E53" s="307" t="s">
        <v>320</v>
      </c>
      <c r="F53" s="308"/>
      <c r="K53" s="177" t="s">
        <v>322</v>
      </c>
      <c r="L53" s="176" t="s">
        <v>332</v>
      </c>
    </row>
    <row r="54" spans="1:15" ht="15.75" thickBot="1" x14ac:dyDescent="0.3">
      <c r="A54" s="304" t="s">
        <v>313</v>
      </c>
      <c r="B54" s="305"/>
      <c r="C54" s="305"/>
      <c r="D54" s="306"/>
      <c r="E54" s="296" t="s">
        <v>325</v>
      </c>
      <c r="F54" s="297"/>
      <c r="K54" s="178" t="s">
        <v>107</v>
      </c>
      <c r="L54" s="28">
        <f>COUNTIF(B$31:B$50,K54)</f>
        <v>2</v>
      </c>
    </row>
    <row r="55" spans="1:15" ht="15.75" thickBot="1" x14ac:dyDescent="0.3">
      <c r="A55" s="160" t="s">
        <v>278</v>
      </c>
      <c r="B55" t="str">
        <f>TRIM(A55)</f>
        <v>Poliwrath</v>
      </c>
      <c r="C55">
        <v>253</v>
      </c>
      <c r="D55" s="161"/>
      <c r="E55" s="298"/>
      <c r="F55" s="299"/>
      <c r="K55" s="165" t="s">
        <v>109</v>
      </c>
      <c r="L55" s="161">
        <f t="shared" ref="L55:L60" si="9">COUNTIF(B$31:B$50,K55)</f>
        <v>6</v>
      </c>
    </row>
    <row r="56" spans="1:15" ht="15.75" thickBot="1" x14ac:dyDescent="0.3">
      <c r="A56" s="160" t="s">
        <v>279</v>
      </c>
      <c r="B56" t="str">
        <f t="shared" ref="B56:B64" si="10">TRIM(A56)</f>
        <v>Victreebel</v>
      </c>
      <c r="C56">
        <v>395</v>
      </c>
      <c r="D56" s="161"/>
      <c r="E56" s="171" t="s">
        <v>323</v>
      </c>
      <c r="F56" s="161">
        <f>COUNTBLANK(A55:A64)</f>
        <v>2</v>
      </c>
      <c r="K56" s="165" t="s">
        <v>130</v>
      </c>
      <c r="L56" s="161">
        <f t="shared" si="9"/>
        <v>1</v>
      </c>
    </row>
    <row r="57" spans="1:15" ht="15.75" thickBot="1" x14ac:dyDescent="0.3">
      <c r="A57" s="160"/>
      <c r="B57" t="str">
        <f t="shared" si="10"/>
        <v/>
      </c>
      <c r="C57">
        <v>310</v>
      </c>
      <c r="E57" s="294" t="s">
        <v>327</v>
      </c>
      <c r="F57" s="295"/>
      <c r="K57" s="165" t="s">
        <v>162</v>
      </c>
      <c r="L57" s="161">
        <f t="shared" si="9"/>
        <v>2</v>
      </c>
    </row>
    <row r="58" spans="1:15" x14ac:dyDescent="0.25">
      <c r="A58" s="160" t="s">
        <v>281</v>
      </c>
      <c r="B58" t="str">
        <f t="shared" si="10"/>
        <v>Magneton</v>
      </c>
      <c r="C58">
        <v>475</v>
      </c>
      <c r="E58" s="173" t="s">
        <v>324</v>
      </c>
      <c r="F58" s="161">
        <f>COUNT(B31:B50)</f>
        <v>0</v>
      </c>
      <c r="K58" s="165" t="s">
        <v>285</v>
      </c>
      <c r="L58" s="161">
        <f t="shared" si="9"/>
        <v>1</v>
      </c>
    </row>
    <row r="59" spans="1:15" ht="15.75" thickBot="1" x14ac:dyDescent="0.3">
      <c r="A59" s="160" t="s">
        <v>282</v>
      </c>
      <c r="B59" t="str">
        <f t="shared" si="10"/>
        <v>Dewgong</v>
      </c>
      <c r="C59">
        <v>505</v>
      </c>
      <c r="E59" s="174"/>
      <c r="F59" s="175"/>
      <c r="K59" s="165" t="s">
        <v>108</v>
      </c>
      <c r="L59" s="161">
        <f t="shared" si="9"/>
        <v>3</v>
      </c>
    </row>
    <row r="60" spans="1:15" ht="15.75" thickBot="1" x14ac:dyDescent="0.3">
      <c r="A60" s="160" t="s">
        <v>283</v>
      </c>
      <c r="B60" t="str">
        <f t="shared" si="10"/>
        <v>Cloyster</v>
      </c>
      <c r="C60">
        <v>455</v>
      </c>
      <c r="D60" s="161"/>
      <c r="E60" s="307" t="s">
        <v>321</v>
      </c>
      <c r="F60" s="308"/>
      <c r="K60" s="166" t="s">
        <v>163</v>
      </c>
      <c r="L60" s="164">
        <f t="shared" si="9"/>
        <v>5</v>
      </c>
    </row>
    <row r="61" spans="1:15" ht="15.75" thickBot="1" x14ac:dyDescent="0.3">
      <c r="A61" s="160" t="s">
        <v>284</v>
      </c>
      <c r="B61" t="str">
        <f t="shared" si="10"/>
        <v>Onix</v>
      </c>
      <c r="C61">
        <v>405</v>
      </c>
      <c r="D61" s="161"/>
      <c r="E61" s="309" t="s">
        <v>326</v>
      </c>
      <c r="F61" s="310"/>
      <c r="K61" s="314" t="s">
        <v>334</v>
      </c>
      <c r="L61" s="308"/>
    </row>
    <row r="62" spans="1:15" x14ac:dyDescent="0.25">
      <c r="A62" s="160" t="s">
        <v>286</v>
      </c>
      <c r="B62" t="str">
        <f t="shared" si="10"/>
        <v>Dragonair</v>
      </c>
      <c r="C62">
        <v>438</v>
      </c>
      <c r="D62" s="161"/>
      <c r="E62" s="171" t="s">
        <v>328</v>
      </c>
      <c r="F62" s="165">
        <f>COUNTA(B31:C50)</f>
        <v>40</v>
      </c>
      <c r="K62" s="178" t="s">
        <v>310</v>
      </c>
      <c r="L62" s="28">
        <f>COUNTIF(C69:C77,"&gt;400")</f>
        <v>5</v>
      </c>
    </row>
    <row r="63" spans="1:15" ht="15.75" thickBot="1" x14ac:dyDescent="0.3">
      <c r="A63" s="160"/>
      <c r="B63" t="str">
        <f t="shared" si="10"/>
        <v/>
      </c>
      <c r="C63">
        <v>310</v>
      </c>
      <c r="D63" s="161"/>
      <c r="E63" s="169"/>
      <c r="F63" s="165"/>
      <c r="K63" s="166" t="s">
        <v>309</v>
      </c>
      <c r="L63" s="164">
        <f>COUNTIF(C$69:C$77,"&lt;400")</f>
        <v>4</v>
      </c>
    </row>
    <row r="64" spans="1:15" ht="15.75" thickBot="1" x14ac:dyDescent="0.3">
      <c r="A64" s="162" t="s">
        <v>288</v>
      </c>
      <c r="B64" s="163" t="str">
        <f t="shared" si="10"/>
        <v>Rattata</v>
      </c>
      <c r="C64" s="163">
        <v>200</v>
      </c>
      <c r="D64" s="164"/>
      <c r="E64" s="170"/>
      <c r="F64" s="166"/>
    </row>
    <row r="67" spans="1:7" ht="15.75" thickBot="1" x14ac:dyDescent="0.3"/>
    <row r="68" spans="1:7" ht="32.25" customHeight="1" thickBot="1" x14ac:dyDescent="0.3">
      <c r="A68" s="172" t="s">
        <v>298</v>
      </c>
      <c r="B68" s="180" t="s">
        <v>124</v>
      </c>
      <c r="C68" s="179" t="s">
        <v>34</v>
      </c>
      <c r="D68" s="187" t="s">
        <v>338</v>
      </c>
      <c r="E68" s="315" t="s">
        <v>339</v>
      </c>
      <c r="F68" s="316"/>
    </row>
    <row r="69" spans="1:7" x14ac:dyDescent="0.25">
      <c r="A69" s="167" t="s">
        <v>299</v>
      </c>
      <c r="B69" s="27" t="s">
        <v>107</v>
      </c>
      <c r="C69" s="181">
        <v>318</v>
      </c>
      <c r="D69" s="184" t="str">
        <f>IF(C69&gt;400, "High", "Low")</f>
        <v>Low</v>
      </c>
      <c r="E69" s="317" t="str" cm="1">
        <f t="array" ref="E69">_xlfn.IFS(C69&gt;400,"High", C69&gt;=300,"Normal",C69&lt;300,"Low")</f>
        <v>Normal</v>
      </c>
      <c r="F69" s="318"/>
    </row>
    <row r="70" spans="1:7" x14ac:dyDescent="0.25">
      <c r="A70" s="160" t="s">
        <v>300</v>
      </c>
      <c r="B70" t="s">
        <v>107</v>
      </c>
      <c r="C70" s="182">
        <v>405</v>
      </c>
      <c r="D70" s="185" t="str">
        <f t="shared" ref="D70:D77" si="11">IF(C70&gt;400, "High", "Low")</f>
        <v>High</v>
      </c>
      <c r="E70" s="317" t="str" cm="1">
        <f t="array" ref="E70">_xlfn.IFS(C70&gt;400,"High", C70&gt;=300,"Normal",C70&lt;300,"Low")</f>
        <v>High</v>
      </c>
      <c r="F70" s="318"/>
    </row>
    <row r="71" spans="1:7" x14ac:dyDescent="0.25">
      <c r="A71" s="160" t="s">
        <v>301</v>
      </c>
      <c r="B71" t="s">
        <v>107</v>
      </c>
      <c r="C71" s="182">
        <v>250</v>
      </c>
      <c r="D71" s="185" t="str">
        <f t="shared" si="11"/>
        <v>Low</v>
      </c>
      <c r="E71" s="317" t="str" cm="1">
        <f t="array" ref="E71">_xlfn.IFS(C71&gt;400,"High", C71&gt;=300,"Normal",C71&lt;300,"Low")</f>
        <v>Low</v>
      </c>
      <c r="F71" s="318"/>
    </row>
    <row r="72" spans="1:7" x14ac:dyDescent="0.25">
      <c r="A72" s="160" t="s">
        <v>302</v>
      </c>
      <c r="B72" t="s">
        <v>108</v>
      </c>
      <c r="C72" s="182">
        <v>309</v>
      </c>
      <c r="D72" s="185" t="str">
        <f t="shared" si="11"/>
        <v>Low</v>
      </c>
      <c r="E72" s="317" t="str" cm="1">
        <f t="array" ref="E72">_xlfn.IFS(C72&gt;400,"High", C72&gt;=300,"Normal",C72&lt;300,"Low")</f>
        <v>Normal</v>
      </c>
      <c r="F72" s="318"/>
    </row>
    <row r="73" spans="1:7" x14ac:dyDescent="0.25">
      <c r="A73" s="160" t="s">
        <v>303</v>
      </c>
      <c r="B73" t="s">
        <v>108</v>
      </c>
      <c r="C73" s="182">
        <v>405</v>
      </c>
      <c r="D73" s="185" t="str">
        <f t="shared" si="11"/>
        <v>High</v>
      </c>
      <c r="E73" s="317" t="str" cm="1">
        <f t="array" ref="E73">_xlfn.IFS(C73&gt;400,"High", C73&gt;=300,"Normal",C73&lt;300,"Low")</f>
        <v>High</v>
      </c>
      <c r="F73" s="318"/>
    </row>
    <row r="74" spans="1:7" x14ac:dyDescent="0.25">
      <c r="A74" s="160" t="s">
        <v>304</v>
      </c>
      <c r="B74" t="s">
        <v>108</v>
      </c>
      <c r="C74" s="182">
        <v>534</v>
      </c>
      <c r="D74" s="185" t="str">
        <f t="shared" si="11"/>
        <v>High</v>
      </c>
      <c r="E74" s="317" t="str" cm="1">
        <f t="array" ref="E74">_xlfn.IFS(C74&gt;400,"High", C74&gt;=300,"Normal",C74&lt;300,"Low")</f>
        <v>High</v>
      </c>
      <c r="F74" s="318"/>
    </row>
    <row r="75" spans="1:7" x14ac:dyDescent="0.25">
      <c r="A75" s="160" t="s">
        <v>305</v>
      </c>
      <c r="B75" t="s">
        <v>109</v>
      </c>
      <c r="C75" s="182">
        <v>314</v>
      </c>
      <c r="D75" s="185" t="str">
        <f t="shared" si="11"/>
        <v>Low</v>
      </c>
      <c r="E75" s="317" t="str" cm="1">
        <f t="array" ref="E75">_xlfn.IFS(C75&gt;400,"High", C75&gt;=300,"Normal",C75&lt;300,"Low")</f>
        <v>Normal</v>
      </c>
      <c r="F75" s="318"/>
    </row>
    <row r="76" spans="1:7" x14ac:dyDescent="0.25">
      <c r="A76" s="160" t="s">
        <v>306</v>
      </c>
      <c r="B76" t="s">
        <v>109</v>
      </c>
      <c r="C76" s="182">
        <v>405</v>
      </c>
      <c r="D76" s="185" t="str">
        <f t="shared" si="11"/>
        <v>High</v>
      </c>
      <c r="E76" s="317" t="str" cm="1">
        <f t="array" ref="E76">_xlfn.IFS(C76&gt;400,"High", C76&gt;=300,"Normal",C76&lt;300,"Low")</f>
        <v>High</v>
      </c>
      <c r="F76" s="318"/>
    </row>
    <row r="77" spans="1:7" ht="15.75" thickBot="1" x14ac:dyDescent="0.3">
      <c r="A77" s="162" t="s">
        <v>307</v>
      </c>
      <c r="B77" s="163" t="s">
        <v>109</v>
      </c>
      <c r="C77" s="183">
        <v>530</v>
      </c>
      <c r="D77" s="186" t="str">
        <f t="shared" si="11"/>
        <v>High</v>
      </c>
      <c r="E77" s="321" t="str" cm="1">
        <f t="array" ref="E77">_xlfn.IFS(C77&gt;400,"High", C77&gt;=300,"Normal",C77&lt;300,"Low")</f>
        <v>High</v>
      </c>
      <c r="F77" s="322"/>
    </row>
    <row r="78" spans="1:7" x14ac:dyDescent="0.25">
      <c r="A78" t="s">
        <v>308</v>
      </c>
    </row>
    <row r="79" spans="1:7" ht="15.75" thickBot="1" x14ac:dyDescent="0.3"/>
    <row r="80" spans="1:7" ht="35.25" customHeight="1" thickBot="1" x14ac:dyDescent="0.3">
      <c r="A80" s="188" t="s">
        <v>105</v>
      </c>
      <c r="B80" t="s">
        <v>340</v>
      </c>
      <c r="C80" t="s">
        <v>341</v>
      </c>
      <c r="D80" s="192" t="s">
        <v>343</v>
      </c>
      <c r="E80" s="193" t="s">
        <v>342</v>
      </c>
      <c r="F80" s="203" t="s">
        <v>364</v>
      </c>
      <c r="G80" s="205" t="s">
        <v>365</v>
      </c>
    </row>
    <row r="81" spans="1:7" x14ac:dyDescent="0.25">
      <c r="A81" s="178" t="s">
        <v>299</v>
      </c>
      <c r="B81" s="178" t="str" cm="1">
        <f t="array" ref="B81:B89">TRIM(A81:A89)</f>
        <v>Bulbasaur</v>
      </c>
      <c r="D81" s="189" t="str">
        <f>LEFT(B81)</f>
        <v>B</v>
      </c>
      <c r="E81" s="201" t="str">
        <f>LEFT(B81,4)</f>
        <v>Bulb</v>
      </c>
      <c r="F81" s="184" t="str">
        <f>RIGHT(B81)</f>
        <v>r</v>
      </c>
      <c r="G81" s="178" t="str">
        <f>RIGHT(B81,4)</f>
        <v>saur</v>
      </c>
    </row>
    <row r="82" spans="1:7" x14ac:dyDescent="0.25">
      <c r="A82" s="165" t="s">
        <v>300</v>
      </c>
      <c r="B82" s="165" t="str">
        <v>Ivysaur</v>
      </c>
      <c r="D82" s="190" t="str">
        <f t="shared" ref="D82:D89" si="12">LEFT(B82)</f>
        <v>I</v>
      </c>
      <c r="E82" s="200" t="str">
        <f t="shared" ref="E82:E89" si="13">LEFT(B82,4)</f>
        <v>Ivys</v>
      </c>
      <c r="F82" s="204" t="str">
        <f t="shared" ref="F82:F89" si="14">RIGHT(B82)</f>
        <v>r</v>
      </c>
      <c r="G82" s="165" t="str">
        <f t="shared" ref="G82:G89" si="15">RIGHT(B82,4)</f>
        <v>saur</v>
      </c>
    </row>
    <row r="83" spans="1:7" x14ac:dyDescent="0.25">
      <c r="A83" s="165" t="s">
        <v>301</v>
      </c>
      <c r="B83" s="165" t="str">
        <v>Venusaur</v>
      </c>
      <c r="D83" s="190" t="str">
        <f t="shared" si="12"/>
        <v>V</v>
      </c>
      <c r="E83" s="200" t="str">
        <f t="shared" si="13"/>
        <v>Venu</v>
      </c>
      <c r="F83" s="204" t="str">
        <f t="shared" si="14"/>
        <v>r</v>
      </c>
      <c r="G83" s="165" t="str">
        <f t="shared" si="15"/>
        <v>saur</v>
      </c>
    </row>
    <row r="84" spans="1:7" x14ac:dyDescent="0.25">
      <c r="A84" s="165" t="s">
        <v>302</v>
      </c>
      <c r="B84" s="165" t="str">
        <v>Charmander</v>
      </c>
      <c r="D84" s="190" t="str">
        <f t="shared" si="12"/>
        <v>C</v>
      </c>
      <c r="E84" s="200" t="str">
        <f t="shared" si="13"/>
        <v>Char</v>
      </c>
      <c r="F84" s="204" t="str">
        <f t="shared" si="14"/>
        <v>r</v>
      </c>
      <c r="G84" s="165" t="str">
        <f t="shared" si="15"/>
        <v>nder</v>
      </c>
    </row>
    <row r="85" spans="1:7" x14ac:dyDescent="0.25">
      <c r="A85" s="165" t="s">
        <v>303</v>
      </c>
      <c r="B85" s="165" t="str">
        <v>Charmeleon</v>
      </c>
      <c r="D85" s="190" t="str">
        <f t="shared" si="12"/>
        <v>C</v>
      </c>
      <c r="E85" s="200" t="str">
        <f t="shared" si="13"/>
        <v>Char</v>
      </c>
      <c r="F85" s="204" t="str">
        <f t="shared" si="14"/>
        <v>n</v>
      </c>
      <c r="G85" s="165" t="str">
        <f t="shared" si="15"/>
        <v>leon</v>
      </c>
    </row>
    <row r="86" spans="1:7" x14ac:dyDescent="0.25">
      <c r="A86" s="165" t="s">
        <v>304</v>
      </c>
      <c r="B86" s="165" t="str">
        <v>Charizard</v>
      </c>
      <c r="D86" s="190" t="str">
        <f t="shared" si="12"/>
        <v>C</v>
      </c>
      <c r="E86" s="200" t="str">
        <f t="shared" si="13"/>
        <v>Char</v>
      </c>
      <c r="F86" s="204" t="str">
        <f t="shared" si="14"/>
        <v>d</v>
      </c>
      <c r="G86" s="165" t="str">
        <f t="shared" si="15"/>
        <v>zard</v>
      </c>
    </row>
    <row r="87" spans="1:7" x14ac:dyDescent="0.25">
      <c r="A87" s="165" t="s">
        <v>305</v>
      </c>
      <c r="B87" s="165" t="str">
        <v>Squirtle</v>
      </c>
      <c r="D87" s="190" t="str">
        <f t="shared" si="12"/>
        <v>S</v>
      </c>
      <c r="E87" s="200" t="str">
        <f t="shared" si="13"/>
        <v>Squi</v>
      </c>
      <c r="F87" s="204" t="str">
        <f t="shared" si="14"/>
        <v>e</v>
      </c>
      <c r="G87" s="165" t="str">
        <f t="shared" si="15"/>
        <v>rtle</v>
      </c>
    </row>
    <row r="88" spans="1:7" x14ac:dyDescent="0.25">
      <c r="A88" s="165" t="s">
        <v>306</v>
      </c>
      <c r="B88" s="165" t="str">
        <v>Wartortle</v>
      </c>
      <c r="D88" s="190" t="str">
        <f t="shared" si="12"/>
        <v>W</v>
      </c>
      <c r="E88" s="200" t="str">
        <f t="shared" si="13"/>
        <v>Wart</v>
      </c>
      <c r="F88" s="204" t="str">
        <f t="shared" si="14"/>
        <v>e</v>
      </c>
      <c r="G88" s="165" t="str">
        <f t="shared" si="15"/>
        <v>rtle</v>
      </c>
    </row>
    <row r="89" spans="1:7" ht="15.75" thickBot="1" x14ac:dyDescent="0.3">
      <c r="A89" s="166" t="s">
        <v>307</v>
      </c>
      <c r="B89" s="166" t="str">
        <v>Blastoise</v>
      </c>
      <c r="D89" s="191" t="str">
        <f t="shared" si="12"/>
        <v>B</v>
      </c>
      <c r="E89" s="202" t="str">
        <f t="shared" si="13"/>
        <v>Blas</v>
      </c>
      <c r="F89" s="186" t="str">
        <f t="shared" si="14"/>
        <v>e</v>
      </c>
      <c r="G89" s="166" t="str">
        <f t="shared" si="15"/>
        <v>oise</v>
      </c>
    </row>
    <row r="91" spans="1:7" ht="15.75" thickBot="1" x14ac:dyDescent="0.3"/>
    <row r="92" spans="1:7" ht="29.25" customHeight="1" thickBot="1" x14ac:dyDescent="0.3">
      <c r="A92" s="194" t="s">
        <v>238</v>
      </c>
      <c r="B92" s="195" t="s">
        <v>124</v>
      </c>
      <c r="C92" s="196" t="s">
        <v>277</v>
      </c>
      <c r="D92" s="197" t="s">
        <v>362</v>
      </c>
      <c r="E92" s="319" t="s">
        <v>363</v>
      </c>
      <c r="F92" s="320"/>
    </row>
    <row r="93" spans="1:7" x14ac:dyDescent="0.25">
      <c r="A93" s="160" t="s">
        <v>353</v>
      </c>
      <c r="B93" t="s">
        <v>344</v>
      </c>
      <c r="C93" s="161">
        <v>305</v>
      </c>
      <c r="D93" s="168" t="str">
        <f>LOWER(A93)</f>
        <v>mankey</v>
      </c>
      <c r="E93" s="185" t="str" cm="1">
        <f t="array" ref="E93:F101">LOWER(A93:B101)</f>
        <v>mankey</v>
      </c>
      <c r="F93" s="198" t="str">
        <v>fighting</v>
      </c>
    </row>
    <row r="94" spans="1:7" x14ac:dyDescent="0.25">
      <c r="A94" s="160" t="s">
        <v>354</v>
      </c>
      <c r="B94" t="s">
        <v>345</v>
      </c>
      <c r="C94" s="161">
        <v>510</v>
      </c>
      <c r="D94" s="169" t="str">
        <f t="shared" ref="D94:D101" si="16">LOWER(A94)</f>
        <v>poliwrath</v>
      </c>
      <c r="E94" s="185" t="str">
        <v>poliwrath</v>
      </c>
      <c r="F94" s="198" t="str">
        <v>water</v>
      </c>
    </row>
    <row r="95" spans="1:7" x14ac:dyDescent="0.25">
      <c r="A95" s="160" t="s">
        <v>355</v>
      </c>
      <c r="B95" t="s">
        <v>346</v>
      </c>
      <c r="C95" s="161">
        <v>490</v>
      </c>
      <c r="D95" s="169" t="str">
        <f t="shared" si="16"/>
        <v>victreebel</v>
      </c>
      <c r="E95" s="185" t="str">
        <v>victreebel</v>
      </c>
      <c r="F95" s="198" t="str">
        <v>grass</v>
      </c>
    </row>
    <row r="96" spans="1:7" x14ac:dyDescent="0.25">
      <c r="A96" s="160" t="s">
        <v>356</v>
      </c>
      <c r="B96" t="s">
        <v>347</v>
      </c>
      <c r="C96" s="161">
        <v>335</v>
      </c>
      <c r="D96" s="169" t="str">
        <f t="shared" si="16"/>
        <v>tentacool</v>
      </c>
      <c r="E96" s="185" t="str">
        <v>tentacool</v>
      </c>
      <c r="F96" s="198" t="str">
        <v>water</v>
      </c>
    </row>
    <row r="97" spans="1:6" x14ac:dyDescent="0.25">
      <c r="A97" s="160" t="s">
        <v>357</v>
      </c>
      <c r="B97" t="s">
        <v>348</v>
      </c>
      <c r="C97" s="161">
        <v>465</v>
      </c>
      <c r="D97" s="169" t="str">
        <f t="shared" si="16"/>
        <v>magneton</v>
      </c>
      <c r="E97" s="185" t="str">
        <v>magneton</v>
      </c>
      <c r="F97" s="198" t="str">
        <v>electric</v>
      </c>
    </row>
    <row r="98" spans="1:6" x14ac:dyDescent="0.25">
      <c r="A98" s="160" t="s">
        <v>358</v>
      </c>
      <c r="B98" t="s">
        <v>349</v>
      </c>
      <c r="C98" s="161">
        <v>475</v>
      </c>
      <c r="D98" s="169" t="str">
        <f t="shared" si="16"/>
        <v>dewgong</v>
      </c>
      <c r="E98" s="185" t="str">
        <v>dewgong</v>
      </c>
      <c r="F98" s="198" t="str">
        <v>water</v>
      </c>
    </row>
    <row r="99" spans="1:6" x14ac:dyDescent="0.25">
      <c r="A99" s="160" t="s">
        <v>359</v>
      </c>
      <c r="B99" t="s">
        <v>350</v>
      </c>
      <c r="C99" s="161">
        <v>-525</v>
      </c>
      <c r="D99" s="169" t="str">
        <f t="shared" si="16"/>
        <v>cloyster</v>
      </c>
      <c r="E99" s="185" t="str">
        <v>cloyster</v>
      </c>
      <c r="F99" s="198" t="str">
        <v>water</v>
      </c>
    </row>
    <row r="100" spans="1:6" x14ac:dyDescent="0.25">
      <c r="A100" s="160" t="s">
        <v>360</v>
      </c>
      <c r="B100" t="s">
        <v>351</v>
      </c>
      <c r="C100" s="161">
        <v>385</v>
      </c>
      <c r="D100" s="169" t="str">
        <f t="shared" si="16"/>
        <v>onix</v>
      </c>
      <c r="E100" s="185" t="str">
        <v>onix</v>
      </c>
      <c r="F100" s="198" t="str">
        <v>rock</v>
      </c>
    </row>
    <row r="101" spans="1:6" ht="15.75" thickBot="1" x14ac:dyDescent="0.3">
      <c r="A101" s="162" t="s">
        <v>361</v>
      </c>
      <c r="B101" s="163" t="s">
        <v>352</v>
      </c>
      <c r="C101" s="164">
        <v>420</v>
      </c>
      <c r="D101" s="170" t="str">
        <f t="shared" si="16"/>
        <v>dragonair</v>
      </c>
      <c r="E101" s="186" t="str">
        <v>dragonair</v>
      </c>
      <c r="F101" s="199" t="str">
        <v>dragon</v>
      </c>
    </row>
    <row r="102" spans="1:6" ht="28.5" customHeight="1" thickBot="1" x14ac:dyDescent="0.3">
      <c r="A102" s="27" t="s">
        <v>107</v>
      </c>
      <c r="B102" s="181">
        <v>318</v>
      </c>
      <c r="C102" s="206" t="s">
        <v>375</v>
      </c>
      <c r="D102" s="209" t="s">
        <v>370</v>
      </c>
      <c r="E102" s="208" t="s">
        <v>369</v>
      </c>
    </row>
    <row r="103" spans="1:6" ht="15.75" thickBot="1" x14ac:dyDescent="0.3">
      <c r="A103" t="s">
        <v>107</v>
      </c>
      <c r="B103" s="182">
        <v>405</v>
      </c>
      <c r="C103" s="216">
        <f>SUM(B102:B110)</f>
        <v>3165</v>
      </c>
      <c r="D103" s="212" t="s">
        <v>107</v>
      </c>
      <c r="E103" s="168">
        <f>SUMIF(A$102:A$110,D103, B$102:B$110)</f>
        <v>473</v>
      </c>
    </row>
    <row r="104" spans="1:6" x14ac:dyDescent="0.25">
      <c r="A104" t="s">
        <v>107</v>
      </c>
      <c r="B104" s="182">
        <v>-250</v>
      </c>
      <c r="C104" s="215" t="s">
        <v>372</v>
      </c>
      <c r="D104" s="204" t="s">
        <v>108</v>
      </c>
      <c r="E104" s="25">
        <f t="shared" ref="E104:E105" si="17">SUMIF(A$102:A$110,D104, B$102:B$110)</f>
        <v>1248</v>
      </c>
    </row>
    <row r="105" spans="1:6" ht="15.75" thickBot="1" x14ac:dyDescent="0.3">
      <c r="A105" t="s">
        <v>108</v>
      </c>
      <c r="B105" s="11">
        <v>309</v>
      </c>
      <c r="C105" s="214">
        <f>MAX(B102:B110)</f>
        <v>600</v>
      </c>
      <c r="D105" s="213" t="s">
        <v>109</v>
      </c>
      <c r="E105" s="170">
        <f t="shared" si="17"/>
        <v>1444</v>
      </c>
    </row>
    <row r="106" spans="1:6" x14ac:dyDescent="0.25">
      <c r="A106" t="s">
        <v>108</v>
      </c>
      <c r="B106" s="11">
        <v>405</v>
      </c>
      <c r="C106" s="215" t="s">
        <v>373</v>
      </c>
    </row>
    <row r="107" spans="1:6" ht="15.75" thickBot="1" x14ac:dyDescent="0.3">
      <c r="A107" t="s">
        <v>108</v>
      </c>
      <c r="B107" s="182">
        <v>534</v>
      </c>
      <c r="C107" s="214">
        <f>MIN(B102:B110)</f>
        <v>-250</v>
      </c>
    </row>
    <row r="108" spans="1:6" ht="15.75" thickBot="1" x14ac:dyDescent="0.3">
      <c r="A108" t="s">
        <v>109</v>
      </c>
      <c r="B108" s="182">
        <v>314</v>
      </c>
      <c r="C108" s="217" t="s">
        <v>374</v>
      </c>
    </row>
    <row r="109" spans="1:6" ht="15.75" thickBot="1" x14ac:dyDescent="0.3">
      <c r="A109" t="s">
        <v>109</v>
      </c>
      <c r="B109" s="182">
        <v>600</v>
      </c>
      <c r="C109" s="207">
        <f>MEDIAN(B102:B110)</f>
        <v>405</v>
      </c>
    </row>
    <row r="110" spans="1:6" ht="15.75" thickBot="1" x14ac:dyDescent="0.3">
      <c r="A110" s="163" t="s">
        <v>109</v>
      </c>
      <c r="B110" s="183">
        <v>530</v>
      </c>
      <c r="C110" s="217" t="s">
        <v>380</v>
      </c>
    </row>
    <row r="111" spans="1:6" ht="15.75" thickBot="1" x14ac:dyDescent="0.3">
      <c r="C111" s="207">
        <f>MODE(B102:B110)</f>
        <v>405</v>
      </c>
    </row>
    <row r="112" spans="1:6" x14ac:dyDescent="0.25">
      <c r="B112" s="182"/>
    </row>
    <row r="113" spans="1:3" s="10" customFormat="1" x14ac:dyDescent="0.25">
      <c r="A113" s="10" t="s">
        <v>392</v>
      </c>
      <c r="B113" s="239" t="s">
        <v>393</v>
      </c>
      <c r="C113" s="10" t="s">
        <v>394</v>
      </c>
    </row>
    <row r="114" spans="1:3" x14ac:dyDescent="0.25">
      <c r="A114" t="s">
        <v>388</v>
      </c>
      <c r="B114" s="182">
        <v>7450000</v>
      </c>
      <c r="C114" t="str" cm="1">
        <f t="array" ref="C114:C117">VLOOKUP(A114:A117,StateCode!A1:B7,2,FALSE)</f>
        <v>Colorado</v>
      </c>
    </row>
    <row r="115" spans="1:3" x14ac:dyDescent="0.25">
      <c r="A115" t="s">
        <v>389</v>
      </c>
      <c r="B115" s="182">
        <v>35000000</v>
      </c>
      <c r="C115" t="str">
        <v>New York</v>
      </c>
    </row>
    <row r="116" spans="1:3" x14ac:dyDescent="0.25">
      <c r="A116" t="s">
        <v>390</v>
      </c>
      <c r="B116" s="182">
        <v>40000000</v>
      </c>
      <c r="C116" t="str">
        <v>California</v>
      </c>
    </row>
    <row r="117" spans="1:3" x14ac:dyDescent="0.25">
      <c r="A117" t="s">
        <v>391</v>
      </c>
      <c r="B117" s="182">
        <v>65000</v>
      </c>
      <c r="C117" t="str">
        <v>Wayming</v>
      </c>
    </row>
    <row r="118" spans="1:3" x14ac:dyDescent="0.25">
      <c r="B118" s="182"/>
    </row>
  </sheetData>
  <sortState xmlns:xlrd2="http://schemas.microsoft.com/office/spreadsheetml/2017/richdata2" ref="B114:B122">
    <sortCondition ref="B114:B122"/>
  </sortState>
  <mergeCells count="23">
    <mergeCell ref="E92:F92"/>
    <mergeCell ref="E73:F73"/>
    <mergeCell ref="E74:F74"/>
    <mergeCell ref="E75:F75"/>
    <mergeCell ref="E76:F76"/>
    <mergeCell ref="E77:F77"/>
    <mergeCell ref="E68:F68"/>
    <mergeCell ref="E69:F69"/>
    <mergeCell ref="E70:F70"/>
    <mergeCell ref="E71:F71"/>
    <mergeCell ref="E72:F72"/>
    <mergeCell ref="E61:F61"/>
    <mergeCell ref="E31:O31"/>
    <mergeCell ref="E30:O30"/>
    <mergeCell ref="K61:L61"/>
    <mergeCell ref="E60:F60"/>
    <mergeCell ref="A53:D53"/>
    <mergeCell ref="E57:F57"/>
    <mergeCell ref="E54:F55"/>
    <mergeCell ref="A1:C1"/>
    <mergeCell ref="A15:F15"/>
    <mergeCell ref="A54:D54"/>
    <mergeCell ref="E53:F53"/>
  </mergeCells>
  <pageMargins left="0.7" right="0.7" top="0.75" bottom="0.75" header="0.3" footer="0.3"/>
  <pageSetup orientation="portrait" horizontalDpi="90"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8E976-46F9-42F1-BAEC-D9BBBFBF9D99}">
  <dimension ref="A1:B7"/>
  <sheetViews>
    <sheetView workbookViewId="0">
      <selection sqref="A1:XFD1"/>
    </sheetView>
  </sheetViews>
  <sheetFormatPr defaultRowHeight="15" x14ac:dyDescent="0.25"/>
  <cols>
    <col min="1" max="1" width="10.5703125" bestFit="1" customWidth="1"/>
    <col min="2" max="2" width="11.28515625" bestFit="1" customWidth="1"/>
  </cols>
  <sheetData>
    <row r="1" spans="1:2" s="10" customFormat="1" x14ac:dyDescent="0.25">
      <c r="A1" s="10" t="s">
        <v>392</v>
      </c>
      <c r="B1" s="10" t="s">
        <v>394</v>
      </c>
    </row>
    <row r="2" spans="1:2" x14ac:dyDescent="0.25">
      <c r="A2" t="s">
        <v>388</v>
      </c>
      <c r="B2" t="s">
        <v>395</v>
      </c>
    </row>
    <row r="3" spans="1:2" x14ac:dyDescent="0.25">
      <c r="A3" t="s">
        <v>396</v>
      </c>
      <c r="B3" t="s">
        <v>397</v>
      </c>
    </row>
    <row r="4" spans="1:2" x14ac:dyDescent="0.25">
      <c r="A4" t="s">
        <v>389</v>
      </c>
      <c r="B4" t="s">
        <v>398</v>
      </c>
    </row>
    <row r="5" spans="1:2" x14ac:dyDescent="0.25">
      <c r="A5" t="s">
        <v>399</v>
      </c>
      <c r="B5" t="s">
        <v>400</v>
      </c>
    </row>
    <row r="6" spans="1:2" x14ac:dyDescent="0.25">
      <c r="A6" t="s">
        <v>390</v>
      </c>
      <c r="B6" t="s">
        <v>401</v>
      </c>
    </row>
    <row r="7" spans="1:2" x14ac:dyDescent="0.25">
      <c r="A7" t="s">
        <v>391</v>
      </c>
      <c r="B7" t="s">
        <v>402</v>
      </c>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588C3-B5ED-4D3E-989B-C5C1AC4FF9B5}">
  <sheetPr codeName="Sheet2">
    <tabColor rgb="FF00B0F0"/>
  </sheetPr>
  <dimension ref="A1:S42"/>
  <sheetViews>
    <sheetView zoomScale="130" zoomScaleNormal="130" workbookViewId="0">
      <selection activeCell="L16" sqref="L16"/>
    </sheetView>
  </sheetViews>
  <sheetFormatPr defaultRowHeight="15" x14ac:dyDescent="0.25"/>
  <cols>
    <col min="2" max="2" width="26.42578125" customWidth="1"/>
    <col min="3" max="3" width="33.85546875" bestFit="1" customWidth="1"/>
    <col min="4" max="4" width="14" bestFit="1" customWidth="1"/>
  </cols>
  <sheetData>
    <row r="1" spans="1:7" ht="25.5" customHeight="1" x14ac:dyDescent="0.3">
      <c r="A1">
        <v>1</v>
      </c>
      <c r="B1" s="5" t="s">
        <v>25</v>
      </c>
      <c r="C1" s="2" t="s">
        <v>16</v>
      </c>
      <c r="D1" t="s">
        <v>17</v>
      </c>
    </row>
    <row r="2" spans="1:7" x14ac:dyDescent="0.25">
      <c r="B2" s="4" t="s">
        <v>1</v>
      </c>
      <c r="C2" s="3" t="s">
        <v>11</v>
      </c>
      <c r="D2" s="3" t="s">
        <v>13</v>
      </c>
    </row>
    <row r="3" spans="1:7" x14ac:dyDescent="0.25">
      <c r="B3" s="1" t="s">
        <v>3</v>
      </c>
      <c r="C3" t="s">
        <v>12</v>
      </c>
      <c r="D3" t="s">
        <v>14</v>
      </c>
    </row>
    <row r="4" spans="1:7" x14ac:dyDescent="0.25">
      <c r="B4" s="1" t="s">
        <v>5</v>
      </c>
      <c r="C4" t="s">
        <v>13</v>
      </c>
      <c r="D4" t="s">
        <v>15</v>
      </c>
    </row>
    <row r="5" spans="1:7" x14ac:dyDescent="0.25">
      <c r="B5" s="1" t="s">
        <v>7</v>
      </c>
    </row>
    <row r="9" spans="1:7" ht="18.75" x14ac:dyDescent="0.3">
      <c r="A9">
        <v>2</v>
      </c>
      <c r="B9" t="s">
        <v>64</v>
      </c>
      <c r="C9" s="2" t="s">
        <v>24</v>
      </c>
      <c r="D9" s="16" t="s">
        <v>21</v>
      </c>
      <c r="G9" t="s">
        <v>66</v>
      </c>
    </row>
    <row r="10" spans="1:7" x14ac:dyDescent="0.25">
      <c r="B10" s="1" t="s">
        <v>18</v>
      </c>
      <c r="C10" s="1" t="s">
        <v>23</v>
      </c>
    </row>
    <row r="11" spans="1:7" x14ac:dyDescent="0.25">
      <c r="B11" s="1" t="s">
        <v>19</v>
      </c>
      <c r="C11" s="7" t="s">
        <v>65</v>
      </c>
    </row>
    <row r="12" spans="1:7" x14ac:dyDescent="0.25">
      <c r="B12" s="1" t="s">
        <v>20</v>
      </c>
      <c r="C12" s="1" t="s">
        <v>22</v>
      </c>
    </row>
    <row r="13" spans="1:7" x14ac:dyDescent="0.25">
      <c r="B13" s="1"/>
      <c r="C13" s="1"/>
    </row>
    <row r="14" spans="1:7" x14ac:dyDescent="0.25">
      <c r="B14" s="1"/>
      <c r="C14" s="1"/>
    </row>
    <row r="15" spans="1:7" x14ac:dyDescent="0.25">
      <c r="B15" s="1"/>
      <c r="C15" s="1"/>
    </row>
    <row r="16" spans="1:7" x14ac:dyDescent="0.25">
      <c r="B16" s="1"/>
      <c r="C16" s="1"/>
    </row>
    <row r="17" spans="1:19" x14ac:dyDescent="0.25">
      <c r="C17" s="6"/>
    </row>
    <row r="20" spans="1:19" ht="45.75" customHeight="1" x14ac:dyDescent="0.35">
      <c r="A20">
        <v>3</v>
      </c>
      <c r="B20" s="9" t="s">
        <v>28</v>
      </c>
      <c r="C20" s="8" t="s">
        <v>27</v>
      </c>
      <c r="F20" s="323" t="s">
        <v>29</v>
      </c>
      <c r="G20" s="323"/>
      <c r="H20" s="323"/>
      <c r="I20" s="323"/>
      <c r="J20" s="323"/>
      <c r="K20" s="323"/>
      <c r="L20" s="323"/>
      <c r="M20" s="323"/>
      <c r="N20" s="323"/>
      <c r="O20" s="323"/>
      <c r="P20" s="323"/>
      <c r="Q20" s="323"/>
      <c r="R20" s="323"/>
      <c r="S20" s="323"/>
    </row>
    <row r="21" spans="1:19" x14ac:dyDescent="0.25">
      <c r="B21" t="s">
        <v>31</v>
      </c>
      <c r="C21" t="str" cm="1">
        <f t="array" ref="C21:D21">splt(B21)</f>
        <v>Lisa</v>
      </c>
      <c r="D21" t="str">
        <v>Rai</v>
      </c>
    </row>
    <row r="22" spans="1:19" x14ac:dyDescent="0.25">
      <c r="B22" t="s">
        <v>32</v>
      </c>
      <c r="C22" t="str" cm="1">
        <f t="array" ref="C22:D22">splt(B22)</f>
        <v>Mimi</v>
      </c>
      <c r="D22" t="str">
        <v>Rai</v>
      </c>
    </row>
    <row r="23" spans="1:19" x14ac:dyDescent="0.25">
      <c r="B23" t="s">
        <v>30</v>
      </c>
      <c r="C23" t="str" cm="1">
        <f t="array" ref="C23:D23">splt(B23)</f>
        <v>Prakash</v>
      </c>
      <c r="D23" t="str">
        <v>Rai</v>
      </c>
    </row>
    <row r="24" spans="1:19" x14ac:dyDescent="0.25">
      <c r="B24" t="s">
        <v>26</v>
      </c>
      <c r="C24" t="str" cm="1">
        <f t="array" ref="C24:D24">splt(B24)</f>
        <v>Sumita</v>
      </c>
      <c r="D24" t="str">
        <v>Rai</v>
      </c>
    </row>
    <row r="36" spans="1:4" x14ac:dyDescent="0.25">
      <c r="C36">
        <v>2</v>
      </c>
    </row>
    <row r="37" spans="1:4" x14ac:dyDescent="0.25">
      <c r="D37" t="s">
        <v>33</v>
      </c>
    </row>
    <row r="38" spans="1:4" x14ac:dyDescent="0.25">
      <c r="B38">
        <v>523</v>
      </c>
      <c r="C38">
        <v>235</v>
      </c>
      <c r="D38">
        <f>B38-C38</f>
        <v>288</v>
      </c>
    </row>
    <row r="39" spans="1:4" x14ac:dyDescent="0.25">
      <c r="B39">
        <v>256</v>
      </c>
      <c r="C39">
        <v>582</v>
      </c>
      <c r="D39">
        <f>B39-C39</f>
        <v>-326</v>
      </c>
    </row>
    <row r="40" spans="1:4" x14ac:dyDescent="0.25">
      <c r="B40">
        <v>100</v>
      </c>
      <c r="C40">
        <v>124</v>
      </c>
      <c r="D40">
        <f>B40-C40</f>
        <v>-24</v>
      </c>
    </row>
    <row r="41" spans="1:4" x14ac:dyDescent="0.25">
      <c r="B41">
        <v>250</v>
      </c>
      <c r="C41">
        <v>352</v>
      </c>
      <c r="D41">
        <f>B41-C41</f>
        <v>-102</v>
      </c>
    </row>
    <row r="42" spans="1:4" x14ac:dyDescent="0.25">
      <c r="A42" s="10" t="s">
        <v>35</v>
      </c>
      <c r="B42" s="3">
        <f>SUM(B38:B41)</f>
        <v>1129</v>
      </c>
    </row>
  </sheetData>
  <sortState xmlns:xlrd2="http://schemas.microsoft.com/office/spreadsheetml/2017/richdata2" ref="A21:D24">
    <sortCondition ref="B21:B24"/>
  </sortState>
  <mergeCells count="1">
    <mergeCell ref="F20:S20"/>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Sheet1</vt:lpstr>
      <vt:lpstr>Excel Basics</vt:lpstr>
      <vt:lpstr>Pivot Table and Chart</vt:lpstr>
      <vt:lpstr>Conditional Formatting</vt:lpstr>
      <vt:lpstr>Excel Functions</vt:lpstr>
      <vt:lpstr>StateCode</vt:lpstr>
      <vt:lpstr>shortcuts</vt:lpstr>
    </vt:vector>
  </TitlesOfParts>
  <Company>Shane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Sumita Rai</dc:creator>
  <cp:lastModifiedBy>Sumita Rai</cp:lastModifiedBy>
  <dcterms:created xsi:type="dcterms:W3CDTF">2019-11-08T17:32:44Z</dcterms:created>
  <dcterms:modified xsi:type="dcterms:W3CDTF">2024-02-12T17:03:33Z</dcterms:modified>
</cp:coreProperties>
</file>